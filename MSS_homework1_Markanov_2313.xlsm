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480" yWindow="60" windowWidth="22995" windowHeight="10560"/>
  </bookViews>
  <sheets>
    <sheet name="Лист1" sheetId="1" r:id="rId1"/>
    <sheet name="Лист2" sheetId="2" r:id="rId2"/>
    <sheet name="Лист3" sheetId="3" r:id="rId3"/>
  </sheets>
  <calcPr calcId="145621"/>
</workbook>
</file>

<file path=xl/calcChain.xml><?xml version="1.0" encoding="utf-8"?>
<calcChain xmlns="http://schemas.openxmlformats.org/spreadsheetml/2006/main">
  <c r="AC15" i="1" l="1"/>
  <c r="AD15" i="1"/>
  <c r="AE15" i="1"/>
  <c r="AF15" i="1"/>
  <c r="AG15" i="1"/>
  <c r="AH15" i="1"/>
  <c r="AI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G15" i="1"/>
  <c r="C5" i="1"/>
  <c r="H12" i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2" i="1"/>
  <c r="C4" i="1"/>
</calcChain>
</file>

<file path=xl/sharedStrings.xml><?xml version="1.0" encoding="utf-8"?>
<sst xmlns="http://schemas.openxmlformats.org/spreadsheetml/2006/main" count="12" uniqueCount="11">
  <si>
    <t>L</t>
  </si>
  <si>
    <t>dx</t>
  </si>
  <si>
    <t>dt</t>
  </si>
  <si>
    <t>t</t>
  </si>
  <si>
    <t>Cp</t>
  </si>
  <si>
    <t>ro</t>
  </si>
  <si>
    <t>lamda</t>
  </si>
  <si>
    <t>T</t>
  </si>
  <si>
    <t>T_iter</t>
  </si>
  <si>
    <t>T_start</t>
  </si>
  <si>
    <t>T_end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</si>
</sst>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5" formatCode="0.0000"/>
    <numFmt numFmtId="166" formatCode="0.00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Лист1!$F$12:$AJ$12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293.33333333333297</c:v>
                </c:pt>
                <c:pt idx="2">
                  <c:v>286.66666666666595</c:v>
                </c:pt>
                <c:pt idx="3">
                  <c:v>279.99999999999898</c:v>
                </c:pt>
                <c:pt idx="4">
                  <c:v>273.33333333333206</c:v>
                </c:pt>
                <c:pt idx="5">
                  <c:v>266.66666666666515</c:v>
                </c:pt>
                <c:pt idx="6">
                  <c:v>259.99999999999829</c:v>
                </c:pt>
                <c:pt idx="7">
                  <c:v>253.3333333333315</c:v>
                </c:pt>
                <c:pt idx="8">
                  <c:v>246.66666666666472</c:v>
                </c:pt>
                <c:pt idx="9">
                  <c:v>239.99999999999795</c:v>
                </c:pt>
                <c:pt idx="10">
                  <c:v>233.33333333333121</c:v>
                </c:pt>
                <c:pt idx="11">
                  <c:v>226.6666666666645</c:v>
                </c:pt>
                <c:pt idx="12">
                  <c:v>219.99999999999778</c:v>
                </c:pt>
                <c:pt idx="13">
                  <c:v>213.3333333333311</c:v>
                </c:pt>
                <c:pt idx="14">
                  <c:v>206.66666666666444</c:v>
                </c:pt>
                <c:pt idx="15">
                  <c:v>199.99999999999778</c:v>
                </c:pt>
                <c:pt idx="16">
                  <c:v>193.33333333333115</c:v>
                </c:pt>
                <c:pt idx="17">
                  <c:v>186.66666666666453</c:v>
                </c:pt>
                <c:pt idx="18">
                  <c:v>179.99999999999793</c:v>
                </c:pt>
                <c:pt idx="19">
                  <c:v>173.33333333333132</c:v>
                </c:pt>
                <c:pt idx="20">
                  <c:v>166.66666666666475</c:v>
                </c:pt>
                <c:pt idx="21">
                  <c:v>159.99999999999821</c:v>
                </c:pt>
                <c:pt idx="22">
                  <c:v>153.33333333333167</c:v>
                </c:pt>
                <c:pt idx="23">
                  <c:v>146.66666666666515</c:v>
                </c:pt>
                <c:pt idx="24">
                  <c:v>139.99999999999866</c:v>
                </c:pt>
                <c:pt idx="25">
                  <c:v>133.33333333333218</c:v>
                </c:pt>
                <c:pt idx="26">
                  <c:v>126.66666666666573</c:v>
                </c:pt>
                <c:pt idx="27">
                  <c:v>119.99999999999929</c:v>
                </c:pt>
                <c:pt idx="28">
                  <c:v>113.33333333333286</c:v>
                </c:pt>
                <c:pt idx="29">
                  <c:v>106.66666666666643</c:v>
                </c:pt>
                <c:pt idx="3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43360"/>
        <c:axId val="33341824"/>
      </c:scatterChart>
      <c:valAx>
        <c:axId val="33343360"/>
        <c:scaling>
          <c:orientation val="minMax"/>
          <c:max val="0.1"/>
        </c:scaling>
        <c:delete val="0"/>
        <c:axPos val="b"/>
        <c:majorGridlines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33341824"/>
        <c:crosses val="autoZero"/>
        <c:crossBetween val="midCat"/>
      </c:valAx>
      <c:valAx>
        <c:axId val="33341824"/>
        <c:scaling>
          <c:orientation val="minMax"/>
          <c:max val="350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33343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15</xdr:row>
      <xdr:rowOff>178594</xdr:rowOff>
    </xdr:from>
    <xdr:to>
      <xdr:col>12</xdr:col>
      <xdr:colOff>476249</xdr:colOff>
      <xdr:row>35</xdr:row>
      <xdr:rowOff>178594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11907</xdr:colOff>
      <xdr:row>16</xdr:row>
      <xdr:rowOff>47625</xdr:rowOff>
    </xdr:from>
    <xdr:ext cx="452438" cy="416719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/>
            <xdr:cNvSpPr txBox="1"/>
          </xdr:nvSpPr>
          <xdr:spPr>
            <a:xfrm>
              <a:off x="3059907" y="3095625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200" b="1" i="1">
                        <a:latin typeface="Cambria Math"/>
                      </a:rPr>
                      <m:t>𝑻</m:t>
                    </m:r>
                    <m:r>
                      <a:rPr lang="en-US" sz="1200" b="1" i="1">
                        <a:latin typeface="Cambria Math"/>
                      </a:rPr>
                      <m:t>,[</m:t>
                    </m:r>
                    <m:r>
                      <a:rPr lang="en-US" sz="1200" b="1" i="1">
                        <a:latin typeface="Cambria Math"/>
                      </a:rPr>
                      <m:t>𝑪</m:t>
                    </m:r>
                    <m:r>
                      <a:rPr lang="en-US" sz="12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400" b="1"/>
            </a:p>
          </xdr:txBody>
        </xdr:sp>
      </mc:Choice>
      <mc:Fallback>
        <xdr:sp macro="" textlink="">
          <xdr:nvSpPr>
            <xdr:cNvPr id="3" name="TextBox 2"/>
            <xdr:cNvSpPr txBox="1"/>
          </xdr:nvSpPr>
          <xdr:spPr>
            <a:xfrm>
              <a:off x="3059907" y="3095625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US" sz="1200" b="1" i="0">
                  <a:latin typeface="Cambria Math"/>
                </a:rPr>
                <a:t>𝑻,[𝑪]</a:t>
              </a:r>
              <a:endParaRPr lang="ru-RU" sz="1400" b="1"/>
            </a:p>
          </xdr:txBody>
        </xdr:sp>
      </mc:Fallback>
    </mc:AlternateContent>
    <xdr:clientData/>
  </xdr:one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0.83766</cdr:x>
      <cdr:y>0.91317</cdr:y>
    </cdr:from>
    <cdr:to>
      <cdr:x>0.99094</cdr:x>
      <cdr:y>0.99699</cdr:y>
    </cdr:to>
    <mc:AlternateContent xmlns:mc="http://schemas.openxmlformats.org/markup-compatibility/2006">
      <mc:Choice xmlns:a14="http://schemas.microsoft.com/office/drawing/2010/main" Requires="a14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200" b="1" i="0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200" b="1" i="1">
                      <a:latin typeface="Cambria Math"/>
                    </a:rPr>
                    <m:t>,[</m:t>
                  </m:r>
                  <m:r>
                    <a:rPr lang="en-US" sz="1200" b="1" i="1">
                      <a:latin typeface="Cambria Math"/>
                    </a:rPr>
                    <m:t>𝒎</m:t>
                  </m:r>
                  <m:r>
                    <a:rPr lang="en-US" sz="1200" b="1" i="1">
                      <a:latin typeface="Cambria Math"/>
                    </a:rPr>
                    <m:t>]</m:t>
                  </m:r>
                </m:oMath>
              </a14:m>
              <a:endParaRPr lang="ru-RU" sz="1400" b="1"/>
            </a:p>
          </cdr:txBody>
        </cdr:sp>
      </mc:Choice>
      <mc:Fallback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200" b="1" i="0">
                  <a:latin typeface="+mn-lt"/>
                </a:rPr>
                <a:t>L</a:t>
              </a:r>
              <a:r>
                <a:rPr lang="en-US" sz="1200" b="1" i="0">
                  <a:latin typeface="Cambria Math"/>
                </a:rPr>
                <a:t>,[𝒎]</a:t>
              </a:r>
              <a:endParaRPr lang="ru-RU" sz="1400" b="1"/>
            </a:p>
          </cdr:txBody>
        </cdr:sp>
      </mc:Fallback>
    </mc:AlternateContent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3:AJ15"/>
  <sheetViews>
    <sheetView tabSelected="1" zoomScale="80" zoomScaleNormal="80" workbookViewId="0">
      <selection activeCell="L20" sqref="L20"/>
    </sheetView>
  </sheetViews>
  <sheetFormatPr defaultRowHeight="15" x14ac:dyDescent="0.25"/>
  <cols>
    <col min="3" max="3" width="9.28515625" customWidth="1"/>
    <col min="6" max="36" width="7.140625" customWidth="1"/>
  </cols>
  <sheetData>
    <row r="3" spans="1:36" x14ac:dyDescent="0.25">
      <c r="B3" s="1" t="s">
        <v>0</v>
      </c>
      <c r="C3" s="1">
        <v>0.1</v>
      </c>
    </row>
    <row r="4" spans="1:36" x14ac:dyDescent="0.25">
      <c r="B4" s="1" t="s">
        <v>1</v>
      </c>
      <c r="C4" s="2">
        <f>C3/30</f>
        <v>3.3333333333333335E-3</v>
      </c>
    </row>
    <row r="5" spans="1:36" x14ac:dyDescent="0.25">
      <c r="B5" s="1" t="s">
        <v>2</v>
      </c>
      <c r="C5" s="2">
        <f>(C9*C8*C4^2)/(2*C10)</f>
        <v>0.4333333333333334</v>
      </c>
    </row>
    <row r="6" spans="1:36" x14ac:dyDescent="0.25">
      <c r="B6" s="1" t="s">
        <v>3</v>
      </c>
      <c r="C6" s="1">
        <v>5000</v>
      </c>
      <c r="D6">
        <v>5000.2333333333345</v>
      </c>
    </row>
    <row r="7" spans="1:36" x14ac:dyDescent="0.25">
      <c r="A7" s="5"/>
      <c r="B7" s="6"/>
      <c r="C7" s="6"/>
      <c r="D7" s="5"/>
    </row>
    <row r="8" spans="1:36" x14ac:dyDescent="0.25">
      <c r="B8" s="1" t="s">
        <v>4</v>
      </c>
      <c r="C8" s="1">
        <v>460</v>
      </c>
    </row>
    <row r="9" spans="1:36" x14ac:dyDescent="0.25">
      <c r="B9" s="1" t="s">
        <v>5</v>
      </c>
      <c r="C9" s="1">
        <v>7800</v>
      </c>
    </row>
    <row r="10" spans="1:36" x14ac:dyDescent="0.25">
      <c r="B10" s="1" t="s">
        <v>6</v>
      </c>
      <c r="C10" s="1">
        <v>46</v>
      </c>
    </row>
    <row r="11" spans="1:36" x14ac:dyDescent="0.25">
      <c r="B11" s="6"/>
      <c r="C11" s="6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1:36" x14ac:dyDescent="0.25">
      <c r="B12" s="1" t="s">
        <v>9</v>
      </c>
      <c r="C12" s="1">
        <v>300</v>
      </c>
      <c r="E12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1:36" x14ac:dyDescent="0.25">
      <c r="B13" s="1" t="s">
        <v>10</v>
      </c>
      <c r="C13" s="1">
        <v>100</v>
      </c>
      <c r="E13" t="s">
        <v>7</v>
      </c>
      <c r="F13" s="4">
        <v>300</v>
      </c>
      <c r="G13" s="4">
        <v>293.33333333333297</v>
      </c>
      <c r="H13" s="4">
        <v>286.66666666666595</v>
      </c>
      <c r="I13" s="4">
        <v>279.99999999999898</v>
      </c>
      <c r="J13" s="4">
        <v>273.33333333333206</v>
      </c>
      <c r="K13" s="4">
        <v>266.66666666666515</v>
      </c>
      <c r="L13" s="4">
        <v>259.99999999999829</v>
      </c>
      <c r="M13" s="4">
        <v>253.3333333333315</v>
      </c>
      <c r="N13" s="4">
        <v>246.66666666666472</v>
      </c>
      <c r="O13" s="4">
        <v>239.99999999999795</v>
      </c>
      <c r="P13" s="4">
        <v>233.33333333333121</v>
      </c>
      <c r="Q13" s="4">
        <v>226.6666666666645</v>
      </c>
      <c r="R13" s="4">
        <v>219.99999999999778</v>
      </c>
      <c r="S13" s="4">
        <v>213.3333333333311</v>
      </c>
      <c r="T13" s="4">
        <v>206.66666666666444</v>
      </c>
      <c r="U13" s="4">
        <v>199.99999999999778</v>
      </c>
      <c r="V13" s="4">
        <v>193.33333333333115</v>
      </c>
      <c r="W13" s="4">
        <v>186.66666666666453</v>
      </c>
      <c r="X13" s="4">
        <v>179.99999999999793</v>
      </c>
      <c r="Y13" s="4">
        <v>173.33333333333132</v>
      </c>
      <c r="Z13" s="4">
        <v>166.66666666666475</v>
      </c>
      <c r="AA13" s="4">
        <v>159.99999999999821</v>
      </c>
      <c r="AB13" s="4">
        <v>153.33333333333167</v>
      </c>
      <c r="AC13" s="4">
        <v>146.66666666666515</v>
      </c>
      <c r="AD13" s="4">
        <v>139.99999999999866</v>
      </c>
      <c r="AE13" s="4">
        <v>133.33333333333218</v>
      </c>
      <c r="AF13" s="4">
        <v>126.66666666666573</v>
      </c>
      <c r="AG13" s="4">
        <v>119.99999999999929</v>
      </c>
      <c r="AH13" s="4">
        <v>113.33333333333286</v>
      </c>
      <c r="AI13" s="4">
        <v>106.66666666666643</v>
      </c>
      <c r="AJ13" s="4">
        <v>100</v>
      </c>
    </row>
    <row r="15" spans="1:36" x14ac:dyDescent="0.25">
      <c r="E15" t="s">
        <v>8</v>
      </c>
      <c r="G15" s="4">
        <f>G13+(($C$10*$C$5)/($C$9*$C$8))*((H13-2*G13+F13)/($C$4^2))</f>
        <v>293.33333333333297</v>
      </c>
      <c r="H15" s="4">
        <f t="shared" ref="H15:AI15" si="1">H13+(($C$10*$C$5)/($C$9*$C$8))*((I13-2*H13+G13)/($C$4^2))</f>
        <v>286.66666666666595</v>
      </c>
      <c r="I15" s="4">
        <f t="shared" si="1"/>
        <v>279.99999999999898</v>
      </c>
      <c r="J15" s="4">
        <f t="shared" si="1"/>
        <v>273.33333333333206</v>
      </c>
      <c r="K15" s="4">
        <f t="shared" si="1"/>
        <v>266.66666666666515</v>
      </c>
      <c r="L15" s="4">
        <f t="shared" si="1"/>
        <v>259.99999999999829</v>
      </c>
      <c r="M15" s="4">
        <f t="shared" si="1"/>
        <v>253.3333333333315</v>
      </c>
      <c r="N15" s="4">
        <f t="shared" si="1"/>
        <v>246.66666666666472</v>
      </c>
      <c r="O15" s="4">
        <f t="shared" si="1"/>
        <v>239.99999999999795</v>
      </c>
      <c r="P15" s="4">
        <f t="shared" si="1"/>
        <v>233.33333333333121</v>
      </c>
      <c r="Q15" s="4">
        <f t="shared" si="1"/>
        <v>226.6666666666645</v>
      </c>
      <c r="R15" s="4">
        <f t="shared" si="1"/>
        <v>219.99999999999778</v>
      </c>
      <c r="S15" s="4">
        <f t="shared" si="1"/>
        <v>213.3333333333311</v>
      </c>
      <c r="T15" s="4">
        <f t="shared" si="1"/>
        <v>206.66666666666444</v>
      </c>
      <c r="U15" s="4">
        <f t="shared" si="1"/>
        <v>199.99999999999778</v>
      </c>
      <c r="V15" s="4">
        <f t="shared" si="1"/>
        <v>193.33333333333115</v>
      </c>
      <c r="W15" s="4">
        <f t="shared" si="1"/>
        <v>186.66666666666453</v>
      </c>
      <c r="X15" s="4">
        <f t="shared" si="1"/>
        <v>179.99999999999793</v>
      </c>
      <c r="Y15" s="4">
        <f t="shared" si="1"/>
        <v>173.33333333333132</v>
      </c>
      <c r="Z15" s="4">
        <f t="shared" si="1"/>
        <v>166.66666666666475</v>
      </c>
      <c r="AA15" s="4">
        <f t="shared" si="1"/>
        <v>159.99999999999821</v>
      </c>
      <c r="AB15" s="4">
        <f t="shared" si="1"/>
        <v>153.33333333333167</v>
      </c>
      <c r="AC15" s="4">
        <f>AC13+(($C$10*$C$5)/($C$9*$C$8))*((AD13-2*AC13+AB13)/($C$4^2))</f>
        <v>146.66666666666515</v>
      </c>
      <c r="AD15" s="4">
        <f t="shared" si="1"/>
        <v>139.99999999999866</v>
      </c>
      <c r="AE15" s="4">
        <f t="shared" si="1"/>
        <v>133.33333333333218</v>
      </c>
      <c r="AF15" s="4">
        <f t="shared" si="1"/>
        <v>126.66666666666573</v>
      </c>
      <c r="AG15" s="4">
        <f t="shared" si="1"/>
        <v>119.99999999999929</v>
      </c>
      <c r="AH15" s="4">
        <f t="shared" si="1"/>
        <v>113.33333333333286</v>
      </c>
      <c r="AI15" s="4">
        <f t="shared" si="1"/>
        <v>106.66666666666643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о</dc:creator>
  <cp:lastModifiedBy>о</cp:lastModifiedBy>
  <dcterms:created xsi:type="dcterms:W3CDTF">2021-09-07T10:42:55Z</dcterms:created>
  <dcterms:modified xsi:type="dcterms:W3CDTF">2021-09-07T12:37:24Z</dcterms:modified>
</cp:coreProperties>
</file>
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charts/colors1.xml" ContentType="application/vnd.ms-office.chartcolorstyle+xml"/>
  <Override PartName="/xl/charts/style1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3" codeName="{3D1A710C-6663-3D7B-7F91-EC182F24A4BC}"/>
  <workbookPr filterPrivacy="1" codeName="ЭтаКнига" defaultThemeVersion="124226"/>
  <bookViews>
    <workbookView xWindow="240" yWindow="105" windowWidth="14805" windowHeight="7485"/>
  </bookViews>
  <sheets>
    <sheet name="Явная схема" sheetId="1" r:id="rId1"/>
    <sheet name="Неявная схема" sheetId="3" r:id="rId2"/>
  </sheets>
  <externalReferences>
    <externalReference r:id="rId3"/>
  </externalReferences>
  <calcPr calcId="191029"/>
</workbook>
</file>

<file path=xl/calcChain.xml><?xml version="1.0" encoding="utf-8"?>
<calcChain xmlns="http://schemas.openxmlformats.org/spreadsheetml/2006/main">
  <c r="F21" i="3" l="1"/>
  <c r="AJ16" i="3"/>
  <c r="C4" i="3"/>
  <c r="C6" i="3" s="1"/>
  <c r="AG22" i="3" s="1"/>
  <c r="C18" i="3" l="1"/>
  <c r="G13" i="3"/>
  <c r="H13" i="3" s="1"/>
  <c r="I13" i="3" s="1"/>
  <c r="J13" i="3" s="1"/>
  <c r="K13" i="3" s="1"/>
  <c r="L13" i="3" s="1"/>
  <c r="M13" i="3" s="1"/>
  <c r="N13" i="3" s="1"/>
  <c r="O13" i="3" s="1"/>
  <c r="P13" i="3" s="1"/>
  <c r="Q13" i="3" s="1"/>
  <c r="R13" i="3" s="1"/>
  <c r="S13" i="3" s="1"/>
  <c r="T13" i="3" s="1"/>
  <c r="U13" i="3" s="1"/>
  <c r="V13" i="3" s="1"/>
  <c r="W13" i="3" s="1"/>
  <c r="X13" i="3" s="1"/>
  <c r="Y13" i="3" s="1"/>
  <c r="Z13" i="3" s="1"/>
  <c r="AA13" i="3" s="1"/>
  <c r="AB13" i="3" s="1"/>
  <c r="AC13" i="3" s="1"/>
  <c r="AD13" i="3" s="1"/>
  <c r="AE13" i="3" s="1"/>
  <c r="AF13" i="3" s="1"/>
  <c r="AG13" i="3" s="1"/>
  <c r="AH13" i="3" s="1"/>
  <c r="AI13" i="3" s="1"/>
  <c r="AJ13" i="3" s="1"/>
  <c r="R22" i="3"/>
  <c r="K22" i="3"/>
  <c r="AI22" i="3"/>
  <c r="AC22" i="3"/>
  <c r="F22" i="3"/>
  <c r="N22" i="3"/>
  <c r="V22" i="3"/>
  <c r="AD22" i="3"/>
  <c r="Z22" i="3"/>
  <c r="L22" i="3"/>
  <c r="U22" i="3"/>
  <c r="G22" i="3"/>
  <c r="O22" i="3"/>
  <c r="W22" i="3"/>
  <c r="AE22" i="3"/>
  <c r="AH22" i="3"/>
  <c r="AA22" i="3"/>
  <c r="T22" i="3"/>
  <c r="M22" i="3"/>
  <c r="C17" i="3"/>
  <c r="H22" i="3"/>
  <c r="P22" i="3"/>
  <c r="X22" i="3"/>
  <c r="AF22" i="3"/>
  <c r="J22" i="3"/>
  <c r="E4" i="3"/>
  <c r="S22" i="3"/>
  <c r="AB22" i="3"/>
  <c r="I22" i="3"/>
  <c r="Q22" i="3"/>
  <c r="Y22" i="3"/>
  <c r="C19" i="3" l="1"/>
  <c r="G21" i="3" s="1"/>
  <c r="G20" i="3" l="1"/>
  <c r="H20" i="3" s="1"/>
  <c r="AJ13" i="1"/>
  <c r="C4" i="1"/>
  <c r="C12" i="1" s="1"/>
  <c r="F13" i="1" s="1"/>
  <c r="I20" i="3" l="1"/>
  <c r="H21" i="3"/>
  <c r="I21" i="3" s="1"/>
  <c r="C5" i="1"/>
  <c r="G12" i="1"/>
  <c r="H12" i="1" s="1"/>
  <c r="I12" i="1" s="1"/>
  <c r="J12" i="1" s="1"/>
  <c r="K12" i="1" s="1"/>
  <c r="L12" i="1" s="1"/>
  <c r="M12" i="1" s="1"/>
  <c r="N12" i="1" s="1"/>
  <c r="O12" i="1" s="1"/>
  <c r="P12" i="1" s="1"/>
  <c r="Q12" i="1" s="1"/>
  <c r="R12" i="1" s="1"/>
  <c r="S12" i="1" s="1"/>
  <c r="T12" i="1" s="1"/>
  <c r="U12" i="1" s="1"/>
  <c r="V12" i="1" s="1"/>
  <c r="W12" i="1" s="1"/>
  <c r="X12" i="1" s="1"/>
  <c r="Y12" i="1" s="1"/>
  <c r="Z12" i="1" s="1"/>
  <c r="AA12" i="1" s="1"/>
  <c r="AB12" i="1" s="1"/>
  <c r="AC12" i="1" s="1"/>
  <c r="AD12" i="1" s="1"/>
  <c r="AE12" i="1" s="1"/>
  <c r="AF12" i="1" s="1"/>
  <c r="AG12" i="1" s="1"/>
  <c r="AH12" i="1" s="1"/>
  <c r="AI12" i="1" s="1"/>
  <c r="AJ12" i="1" s="1"/>
  <c r="J21" i="3" l="1"/>
  <c r="J20" i="3"/>
  <c r="H15" i="1"/>
  <c r="P15" i="1"/>
  <c r="X15" i="1"/>
  <c r="AF15" i="1"/>
  <c r="J15" i="1"/>
  <c r="Z15" i="1"/>
  <c r="AH15" i="1"/>
  <c r="K15" i="1"/>
  <c r="S15" i="1"/>
  <c r="AA15" i="1"/>
  <c r="AI15" i="1"/>
  <c r="U15" i="1"/>
  <c r="N15" i="1"/>
  <c r="I15" i="1"/>
  <c r="Q15" i="1"/>
  <c r="Y15" i="1"/>
  <c r="AG15" i="1"/>
  <c r="R15" i="1"/>
  <c r="M15" i="1"/>
  <c r="AD15" i="1"/>
  <c r="O15" i="1"/>
  <c r="L15" i="1"/>
  <c r="T15" i="1"/>
  <c r="AB15" i="1"/>
  <c r="AC15" i="1"/>
  <c r="V15" i="1"/>
  <c r="W15" i="1"/>
  <c r="AE15" i="1"/>
  <c r="G15" i="1"/>
  <c r="K20" i="3" l="1"/>
  <c r="K21" i="3"/>
  <c r="L21" i="3" s="1"/>
  <c r="L20" i="3" l="1"/>
  <c r="M21" i="3" s="1"/>
  <c r="M20" i="3" l="1"/>
  <c r="N20" i="3" l="1"/>
  <c r="N21" i="3"/>
  <c r="O21" i="3" l="1"/>
  <c r="O20" i="3"/>
  <c r="P20" i="3" l="1"/>
  <c r="P21" i="3"/>
  <c r="Q21" i="3" s="1"/>
  <c r="Q20" i="3" l="1"/>
  <c r="R20" i="3" l="1"/>
  <c r="R21" i="3"/>
  <c r="S21" i="3" l="1"/>
  <c r="S20" i="3"/>
  <c r="T20" i="3" l="1"/>
  <c r="T21" i="3"/>
  <c r="U20" i="3" l="1"/>
  <c r="U21" i="3"/>
  <c r="V21" i="3" l="1"/>
  <c r="V20" i="3"/>
  <c r="W20" i="3" l="1"/>
  <c r="W21" i="3"/>
  <c r="X21" i="3" l="1"/>
  <c r="X20" i="3"/>
  <c r="Y21" i="3" l="1"/>
  <c r="Y20" i="3"/>
  <c r="Z20" i="3" l="1"/>
  <c r="Z21" i="3"/>
  <c r="AA21" i="3" l="1"/>
  <c r="AA20" i="3"/>
  <c r="AB20" i="3" l="1"/>
  <c r="AB21" i="3"/>
  <c r="AC21" i="3" l="1"/>
  <c r="AC20" i="3"/>
  <c r="AD20" i="3" l="1"/>
  <c r="AD21" i="3"/>
  <c r="AE21" i="3" l="1"/>
  <c r="AE20" i="3"/>
  <c r="AF20" i="3" l="1"/>
  <c r="AF21" i="3"/>
  <c r="AG21" i="3" l="1"/>
  <c r="AG20" i="3"/>
  <c r="AH20" i="3" l="1"/>
  <c r="AH21" i="3"/>
  <c r="AI20" i="3" l="1"/>
  <c r="AI21" i="3"/>
  <c r="AI16" i="3" l="1"/>
  <c r="AH16" i="3" s="1"/>
  <c r="AG16" i="3" s="1"/>
  <c r="AF16" i="3" s="1"/>
  <c r="AE16" i="3" s="1"/>
  <c r="AD16" i="3" s="1"/>
  <c r="AC16" i="3" s="1"/>
  <c r="AB16" i="3" s="1"/>
  <c r="AA16" i="3" s="1"/>
  <c r="Z16" i="3" s="1"/>
  <c r="Y16" i="3" s="1"/>
  <c r="X16" i="3" s="1"/>
  <c r="W16" i="3" s="1"/>
  <c r="V16" i="3" s="1"/>
  <c r="U16" i="3" s="1"/>
  <c r="T16" i="3" s="1"/>
  <c r="S16" i="3" s="1"/>
  <c r="R16" i="3" s="1"/>
  <c r="Q16" i="3" s="1"/>
  <c r="P16" i="3" s="1"/>
  <c r="O16" i="3" s="1"/>
  <c r="N16" i="3" s="1"/>
  <c r="M16" i="3" s="1"/>
  <c r="L16" i="3" s="1"/>
  <c r="K16" i="3" s="1"/>
  <c r="J16" i="3" s="1"/>
  <c r="I16" i="3" s="1"/>
  <c r="H16" i="3" s="1"/>
  <c r="G16" i="3" s="1"/>
</calcChain>
</file>

<file path=xl/sharedStrings.xml><?xml version="1.0" encoding="utf-8"?>
<sst xmlns="http://schemas.openxmlformats.org/spreadsheetml/2006/main" count="33" uniqueCount="20">
  <si>
    <t>L</t>
  </si>
  <si>
    <t>dt</t>
  </si>
  <si>
    <t>dx</t>
  </si>
  <si>
    <t>t</t>
  </si>
  <si>
    <t>Cp</t>
  </si>
  <si>
    <t>ro</t>
  </si>
  <si>
    <t>lamda</t>
  </si>
  <si>
    <t>T</t>
  </si>
  <si>
    <t>T_start</t>
  </si>
  <si>
    <t>T_end</t>
  </si>
  <si>
    <t>T_iter</t>
  </si>
  <si>
    <t>T_gas</t>
  </si>
  <si>
    <t>a</t>
  </si>
  <si>
    <t>A</t>
  </si>
  <si>
    <t>B</t>
  </si>
  <si>
    <t>q</t>
  </si>
  <si>
    <t>C</t>
  </si>
  <si>
    <t>F</t>
  </si>
  <si>
    <t>alpha</t>
  </si>
  <si>
    <t>beta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</si>
</sst>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000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Times New Roman"/>
      <family val="1"/>
      <charset val="204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0" xfId="0" applyAlignment="1">
      <alignment horizontal="center"/>
    </xf>
    <xf numFmtId="0" fontId="0" fillId="0" borderId="0" xfId="0" applyFont="1"/>
    <xf numFmtId="164" fontId="0" fillId="0" borderId="0" xfId="0" applyNumberFormat="1" applyAlignment="1">
      <alignment horizontal="center"/>
    </xf>
    <xf numFmtId="0" fontId="1" fillId="0" borderId="1" xfId="0" applyFont="1" applyBorder="1" applyAlignment="1">
      <alignment horizontal="center"/>
    </xf>
    <xf numFmtId="164" fontId="1" fillId="0" borderId="1" xfId="0" applyNumberFormat="1" applyFont="1" applyBorder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/>
    <xf numFmtId="0" fontId="1" fillId="0" borderId="0" xfId="0" applyFont="1" applyFill="1" applyBorder="1" applyAlignment="1">
      <alignment horizontal="center"/>
    </xf>
    <xf numFmtId="0" fontId="1" fillId="0" borderId="1" xfId="0" applyFont="1" applyFill="1" applyBorder="1" applyAlignment="1">
      <alignment horizontal="center"/>
    </xf>
    <xf numFmtId="165" fontId="1" fillId="0" borderId="1" xfId="0" applyNumberFormat="1" applyFont="1" applyBorder="1"/>
    <xf numFmtId="165" fontId="1" fillId="0" borderId="1" xfId="0" applyNumberFormat="1" applyFont="1" applyBorder="1" applyAlignment="1">
      <alignment horizontal="center"/>
    </xf>
    <xf numFmtId="1" fontId="1" fillId="0" borderId="1" xfId="0" applyNumberFormat="1" applyFont="1" applyBorder="1" applyAlignment="1">
      <alignment horizontal="center"/>
    </xf>
    <xf numFmtId="2" fontId="1" fillId="0" borderId="1" xfId="0" applyNumberFormat="1" applyFont="1" applyBorder="1" applyAlignment="1">
      <alignment horizontal="center"/>
    </xf>
    <xf numFmtId="0" fontId="1" fillId="0" borderId="0" xfId="0" applyFont="1" applyBorder="1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3761954752935612"/>
          <c:y val="2.0501364446556106E-2"/>
          <c:w val="0.80718824129903499"/>
          <c:h val="0.88958344943802181"/>
        </c:manualLayout>
      </c:layout>
      <c:scatterChart>
        <c:scatterStyle val="smoothMarker"/>
        <c:varyColors val="0"/>
        <c:ser>
          <c:idx val="0"/>
          <c:order val="0"/>
          <c:spPr>
            <a:ln w="3810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'Явная схема'!$F$12:$AJ$12</c:f>
              <c:numCache>
                <c:formatCode>0.0000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'Явная схема'!$F$13:$AJ$13</c:f>
              <c:numCache>
                <c:formatCode>General</c:formatCode>
                <c:ptCount val="31"/>
                <c:pt idx="0">
                  <c:v>77.1875</c:v>
                </c:pt>
                <c:pt idx="1">
                  <c:v>69.27897497443162</c:v>
                </c:pt>
                <c:pt idx="2">
                  <c:v>61.631114598660552</c:v>
                </c:pt>
                <c:pt idx="3">
                  <c:v>53.983254222889485</c:v>
                </c:pt>
                <c:pt idx="4">
                  <c:v>47.073291654565523</c:v>
                </c:pt>
                <c:pt idx="5">
                  <c:v>40.163329086241561</c:v>
                </c:pt>
                <c:pt idx="6">
                  <c:v>34.351807872058941</c:v>
                </c:pt>
                <c:pt idx="7">
                  <c:v>28.540286657876337</c:v>
                </c:pt>
                <c:pt idx="8">
                  <c:v>24.038831904441469</c:v>
                </c:pt>
                <c:pt idx="9">
                  <c:v>19.537377151006602</c:v>
                </c:pt>
                <c:pt idx="10">
                  <c:v>16.425256451770224</c:v>
                </c:pt>
                <c:pt idx="11">
                  <c:v>13.313135752533844</c:v>
                </c:pt>
                <c:pt idx="12">
                  <c:v>11.591990293916941</c:v>
                </c:pt>
                <c:pt idx="13">
                  <c:v>9.8708448353000371</c:v>
                </c:pt>
                <c:pt idx="14">
                  <c:v>9.5328971921345005</c:v>
                </c:pt>
                <c:pt idx="15">
                  <c:v>9.1949495489689639</c:v>
                </c:pt>
                <c:pt idx="16">
                  <c:v>10.275681913833164</c:v>
                </c:pt>
                <c:pt idx="17">
                  <c:v>11.356414278697365</c:v>
                </c:pt>
                <c:pt idx="18">
                  <c:v>13.948903578299836</c:v>
                </c:pt>
                <c:pt idx="19">
                  <c:v>16.541392877902304</c:v>
                </c:pt>
                <c:pt idx="20">
                  <c:v>20.763692454464223</c:v>
                </c:pt>
                <c:pt idx="21">
                  <c:v>24.985992031026136</c:v>
                </c:pt>
                <c:pt idx="22">
                  <c:v>30.91072931914529</c:v>
                </c:pt>
                <c:pt idx="23">
                  <c:v>36.835466607264436</c:v>
                </c:pt>
                <c:pt idx="24">
                  <c:v>44.406642492981867</c:v>
                </c:pt>
                <c:pt idx="25">
                  <c:v>51.977818378699283</c:v>
                </c:pt>
                <c:pt idx="26">
                  <c:v>60.947819389736125</c:v>
                </c:pt>
                <c:pt idx="27">
                  <c:v>69.917820400772939</c:v>
                </c:pt>
                <c:pt idx="28">
                  <c:v>79.833562866789336</c:v>
                </c:pt>
                <c:pt idx="29">
                  <c:v>89.749305332805704</c:v>
                </c:pt>
                <c:pt idx="30">
                  <c:v>100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0AA1-4202-918D-DFCD2CBBB2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3923200"/>
        <c:axId val="111731072"/>
      </c:scatterChart>
      <c:valAx>
        <c:axId val="133923200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1731072"/>
        <c:crosses val="autoZero"/>
        <c:crossBetween val="midCat"/>
      </c:valAx>
      <c:valAx>
        <c:axId val="11173107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3923200"/>
        <c:crosses val="autoZero"/>
        <c:crossBetween val="midCat"/>
      </c:valAx>
      <c:spPr>
        <a:gradFill>
          <a:gsLst>
            <a:gs pos="0">
              <a:srgbClr val="FFF200"/>
            </a:gs>
            <a:gs pos="45000">
              <a:srgbClr val="FF7A00"/>
            </a:gs>
            <a:gs pos="70000">
              <a:srgbClr val="FF0300"/>
            </a:gs>
            <a:gs pos="100000">
              <a:srgbClr val="4D0808"/>
            </a:gs>
          </a:gsLst>
          <a:lin ang="5400000" scaled="0"/>
        </a:gradFill>
        <a:ln>
          <a:noFill/>
        </a:ln>
        <a:effectLst/>
      </c:spPr>
    </c:plotArea>
    <c:plotVisOnly val="1"/>
    <c:dispBlanksAs val="gap"/>
    <c:showDLblsOverMax val="0"/>
  </c:chart>
  <c:spPr>
    <a:gradFill>
      <a:gsLst>
        <a:gs pos="0">
          <a:srgbClr val="FFF200"/>
        </a:gs>
        <a:gs pos="45000">
          <a:srgbClr val="FF7A00"/>
        </a:gs>
        <a:gs pos="70000">
          <a:srgbClr val="FF0300"/>
        </a:gs>
        <a:gs pos="100000">
          <a:srgbClr val="4D0808"/>
        </a:gs>
      </a:gsLst>
      <a:lin ang="5400000" scaled="0"/>
    </a:gra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340567206028909"/>
          <c:y val="5.7273886563160611E-2"/>
          <c:w val="0.81275409210806382"/>
          <c:h val="0.86302729658792654"/>
        </c:manualLayout>
      </c:layout>
      <c:scatterChart>
        <c:scatterStyle val="smoothMarker"/>
        <c:varyColors val="0"/>
        <c:ser>
          <c:idx val="0"/>
          <c:order val="0"/>
          <c:spPr>
            <a:ln>
              <a:solidFill>
                <a:srgbClr val="00B0F0"/>
              </a:solidFill>
            </a:ln>
          </c:spPr>
          <c:marker>
            <c:symbol val="none"/>
          </c:marker>
          <c:xVal>
            <c:numRef>
              <c:f>'[1]неявная схема'!$F$11:$AJ$11</c:f>
              <c:numCache>
                <c:formatCode>General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'[1]неявная схема'!$F$12:$AJ$12</c:f>
              <c:numCache>
                <c:formatCode>General</c:formatCode>
                <c:ptCount val="31"/>
                <c:pt idx="0">
                  <c:v>300</c:v>
                </c:pt>
                <c:pt idx="1">
                  <c:v>280.20114262798575</c:v>
                </c:pt>
                <c:pt idx="2">
                  <c:v>260.57053452366904</c:v>
                </c:pt>
                <c:pt idx="3">
                  <c:v>241.27335396752636</c:v>
                </c:pt>
                <c:pt idx="4">
                  <c:v>222.46874067679317</c:v>
                </c:pt>
                <c:pt idx="5">
                  <c:v>204.30702925674697</c:v>
                </c:pt>
                <c:pt idx="6">
                  <c:v>186.92727013670742</c:v>
                </c:pt>
                <c:pt idx="7">
                  <c:v>170.45510875086381</c:v>
                </c:pt>
                <c:pt idx="8">
                  <c:v>155.00107463428773</c:v>
                </c:pt>
                <c:pt idx="9">
                  <c:v>140.65931099015722</c:v>
                </c:pt>
                <c:pt idx="10">
                  <c:v>127.5067536180474</c:v>
                </c:pt>
                <c:pt idx="11">
                  <c:v>115.60274732960713</c:v>
                </c:pt>
                <c:pt idx="12">
                  <c:v>104.98906943559072</c:v>
                </c:pt>
                <c:pt idx="13">
                  <c:v>95.690314648076594</c:v>
                </c:pt>
                <c:pt idx="14">
                  <c:v>87.714584570723446</c:v>
                </c:pt>
                <c:pt idx="15">
                  <c:v>81.054418255410752</c:v>
                </c:pt>
                <c:pt idx="16">
                  <c:v>75.68789812172092</c:v>
                </c:pt>
                <c:pt idx="17">
                  <c:v>71.579867553261167</c:v>
                </c:pt>
                <c:pt idx="18">
                  <c:v>68.68320209085141</c:v>
                </c:pt>
                <c:pt idx="19">
                  <c:v>66.940084503407604</c:v>
                </c:pt>
                <c:pt idx="20">
                  <c:v>66.283244166503039</c:v>
                </c:pt>
                <c:pt idx="21">
                  <c:v>66.637132112902975</c:v>
                </c:pt>
                <c:pt idx="22">
                  <c:v>67.919013891339318</c:v>
                </c:pt>
                <c:pt idx="23">
                  <c:v>70.039972168091296</c:v>
                </c:pt>
                <c:pt idx="24">
                  <c:v>72.905819217013814</c:v>
                </c:pt>
                <c:pt idx="25">
                  <c:v>76.417925689672472</c:v>
                </c:pt>
                <c:pt idx="26">
                  <c:v>80.473976208137344</c:v>
                </c:pt>
                <c:pt idx="27">
                  <c:v>84.968664482862408</c:v>
                </c:pt>
                <c:pt idx="28">
                  <c:v>89.794341128753075</c:v>
                </c:pt>
                <c:pt idx="29">
                  <c:v>94.841626578966242</c:v>
                </c:pt>
                <c:pt idx="30">
                  <c:v>100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9A2E-40A2-A18C-3ACF2D98BD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1801472"/>
        <c:axId val="111803008"/>
      </c:scatterChart>
      <c:valAx>
        <c:axId val="111801472"/>
        <c:scaling>
          <c:orientation val="minMax"/>
          <c:max val="0.1"/>
        </c:scaling>
        <c:delete val="0"/>
        <c:axPos val="b"/>
        <c:majorGridlines/>
        <c:numFmt formatCode="0.00" sourceLinked="0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ru-RU"/>
          </a:p>
        </c:txPr>
        <c:crossAx val="111803008"/>
        <c:crosses val="autoZero"/>
        <c:crossBetween val="midCat"/>
      </c:valAx>
      <c:valAx>
        <c:axId val="111803008"/>
        <c:scaling>
          <c:orientation val="minMax"/>
          <c:max val="350"/>
          <c:min val="0"/>
        </c:scaling>
        <c:delete val="0"/>
        <c:axPos val="l"/>
        <c:majorGridlines/>
        <c:numFmt formatCode="#,##0.0" sourceLinked="0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ru-RU"/>
          </a:p>
        </c:txPr>
        <c:crossAx val="111801472"/>
        <c:crosses val="autoZero"/>
        <c:crossBetween val="midCat"/>
      </c:valAx>
      <c:spPr>
        <a:gradFill>
          <a:gsLst>
            <a:gs pos="0">
              <a:srgbClr val="FFF200"/>
            </a:gs>
            <a:gs pos="45000">
              <a:srgbClr val="FF7A00"/>
            </a:gs>
            <a:gs pos="70000">
              <a:srgbClr val="FF0300"/>
            </a:gs>
            <a:gs pos="100000">
              <a:srgbClr val="4D0808"/>
            </a:gs>
          </a:gsLst>
          <a:lin ang="5400000" scaled="0"/>
        </a:gradFill>
      </c:spPr>
    </c:plotArea>
    <c:plotVisOnly val="1"/>
    <c:dispBlanksAs val="gap"/>
    <c:showDLblsOverMax val="0"/>
  </c:chart>
  <c:spPr>
    <a:gradFill>
      <a:gsLst>
        <a:gs pos="0">
          <a:srgbClr val="FFF200"/>
        </a:gs>
        <a:gs pos="45000">
          <a:srgbClr val="FF7A00"/>
        </a:gs>
        <a:gs pos="70000">
          <a:srgbClr val="FF0300"/>
        </a:gs>
        <a:gs pos="100000">
          <a:srgbClr val="4D0808"/>
        </a:gs>
      </a:gsLst>
      <a:lin ang="5400000" scaled="0"/>
    </a:gra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34925">
              <a:solidFill>
                <a:srgbClr val="00B050"/>
              </a:solidFill>
              <a:prstDash val="dash"/>
            </a:ln>
          </c:spPr>
          <c:marker>
            <c:symbol val="none"/>
          </c:marker>
          <c:xVal>
            <c:numRef>
              <c:f>'[1]неявная схема'!$F$11:$AJ$11</c:f>
              <c:numCache>
                <c:formatCode>General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'[1]неявная схема'!$F$12:$AJ$12</c:f>
              <c:numCache>
                <c:formatCode>General</c:formatCode>
                <c:ptCount val="31"/>
                <c:pt idx="0">
                  <c:v>300</c:v>
                </c:pt>
                <c:pt idx="1">
                  <c:v>280.20114262798575</c:v>
                </c:pt>
                <c:pt idx="2">
                  <c:v>260.57053452366904</c:v>
                </c:pt>
                <c:pt idx="3">
                  <c:v>241.27335396752636</c:v>
                </c:pt>
                <c:pt idx="4">
                  <c:v>222.46874067679317</c:v>
                </c:pt>
                <c:pt idx="5">
                  <c:v>204.30702925674697</c:v>
                </c:pt>
                <c:pt idx="6">
                  <c:v>186.92727013670742</c:v>
                </c:pt>
                <c:pt idx="7">
                  <c:v>170.45510875086381</c:v>
                </c:pt>
                <c:pt idx="8">
                  <c:v>155.00107463428773</c:v>
                </c:pt>
                <c:pt idx="9">
                  <c:v>140.65931099015722</c:v>
                </c:pt>
                <c:pt idx="10">
                  <c:v>127.5067536180474</c:v>
                </c:pt>
                <c:pt idx="11">
                  <c:v>115.60274732960713</c:v>
                </c:pt>
                <c:pt idx="12">
                  <c:v>104.98906943559072</c:v>
                </c:pt>
                <c:pt idx="13">
                  <c:v>95.690314648076594</c:v>
                </c:pt>
                <c:pt idx="14">
                  <c:v>87.714584570723446</c:v>
                </c:pt>
                <c:pt idx="15">
                  <c:v>81.054418255410752</c:v>
                </c:pt>
                <c:pt idx="16">
                  <c:v>75.68789812172092</c:v>
                </c:pt>
                <c:pt idx="17">
                  <c:v>71.579867553261167</c:v>
                </c:pt>
                <c:pt idx="18">
                  <c:v>68.68320209085141</c:v>
                </c:pt>
                <c:pt idx="19">
                  <c:v>66.940084503407604</c:v>
                </c:pt>
                <c:pt idx="20">
                  <c:v>66.283244166503039</c:v>
                </c:pt>
                <c:pt idx="21">
                  <c:v>66.637132112902975</c:v>
                </c:pt>
                <c:pt idx="22">
                  <c:v>67.919013891339318</c:v>
                </c:pt>
                <c:pt idx="23">
                  <c:v>70.039972168091296</c:v>
                </c:pt>
                <c:pt idx="24">
                  <c:v>72.905819217013814</c:v>
                </c:pt>
                <c:pt idx="25">
                  <c:v>76.417925689672472</c:v>
                </c:pt>
                <c:pt idx="26">
                  <c:v>80.473976208137344</c:v>
                </c:pt>
                <c:pt idx="27">
                  <c:v>84.968664482862408</c:v>
                </c:pt>
                <c:pt idx="28">
                  <c:v>89.794341128753075</c:v>
                </c:pt>
                <c:pt idx="29">
                  <c:v>94.841626578966242</c:v>
                </c:pt>
                <c:pt idx="30">
                  <c:v>100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AF15-42B2-9084-CCE94C90EEE7}"/>
            </c:ext>
          </c:extLst>
        </c:ser>
        <c:ser>
          <c:idx val="1"/>
          <c:order val="1"/>
          <c:spPr>
            <a:ln w="38100">
              <a:solidFill>
                <a:srgbClr val="00B0F0"/>
              </a:solidFill>
            </a:ln>
          </c:spPr>
          <c:marker>
            <c:symbol val="none"/>
          </c:marker>
          <c:xVal>
            <c:numRef>
              <c:f>'[1]явная схема'!$F$12:$AJ$12</c:f>
              <c:numCache>
                <c:formatCode>General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'[1]явная схема'!$F$13:$AJ$13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100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AF15-42B2-9084-CCE94C90EE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327040"/>
        <c:axId val="128332928"/>
      </c:scatterChart>
      <c:valAx>
        <c:axId val="128327040"/>
        <c:scaling>
          <c:orientation val="minMax"/>
          <c:max val="0.1"/>
        </c:scaling>
        <c:delete val="0"/>
        <c:axPos val="b"/>
        <c:majorGridlines/>
        <c:numFmt formatCode="0.00" sourceLinked="0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ru-RU"/>
          </a:p>
        </c:txPr>
        <c:crossAx val="128332928"/>
        <c:crosses val="autoZero"/>
        <c:crossBetween val="midCat"/>
      </c:valAx>
      <c:valAx>
        <c:axId val="128332928"/>
        <c:scaling>
          <c:orientation val="minMax"/>
          <c:max val="350"/>
          <c:min val="0"/>
        </c:scaling>
        <c:delete val="0"/>
        <c:axPos val="l"/>
        <c:majorGridlines/>
        <c:numFmt formatCode="#,##0.0" sourceLinked="0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ru-RU"/>
          </a:p>
        </c:txPr>
        <c:crossAx val="128327040"/>
        <c:crosses val="autoZero"/>
        <c:crossBetween val="midCat"/>
      </c:valAx>
      <c:spPr>
        <a:gradFill>
          <a:gsLst>
            <a:gs pos="0">
              <a:srgbClr val="FFF200"/>
            </a:gs>
            <a:gs pos="45000">
              <a:srgbClr val="FF7A00"/>
            </a:gs>
            <a:gs pos="70000">
              <a:srgbClr val="FF0300"/>
            </a:gs>
            <a:gs pos="100000">
              <a:srgbClr val="4D0808"/>
            </a:gs>
          </a:gsLst>
          <a:lin ang="5400000" scaled="0"/>
        </a:gradFill>
      </c:spPr>
    </c:plotArea>
    <c:plotVisOnly val="1"/>
    <c:dispBlanksAs val="gap"/>
    <c:showDLblsOverMax val="0"/>
  </c:chart>
  <c:spPr>
    <a:gradFill>
      <a:gsLst>
        <a:gs pos="0">
          <a:srgbClr val="FFF200"/>
        </a:gs>
        <a:gs pos="45000">
          <a:srgbClr val="FF7A00"/>
        </a:gs>
        <a:gs pos="70000">
          <a:srgbClr val="FF0300"/>
        </a:gs>
        <a:gs pos="100000">
          <a:srgbClr val="4D0808"/>
        </a:gs>
      </a:gsLst>
      <a:lin ang="5400000" scaled="0"/>
    </a:gra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597274</xdr:colOff>
      <xdr:row>15</xdr:row>
      <xdr:rowOff>180415</xdr:rowOff>
    </xdr:from>
    <xdr:to>
      <xdr:col>20</xdr:col>
      <xdr:colOff>89648</xdr:colOff>
      <xdr:row>37</xdr:row>
      <xdr:rowOff>11206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4</xdr:col>
      <xdr:colOff>320283</xdr:colOff>
      <xdr:row>16</xdr:row>
      <xdr:rowOff>188054</xdr:rowOff>
    </xdr:from>
    <xdr:ext cx="455894" cy="210763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xmlns="" id="{00000000-0008-0000-0000-000003000000}"/>
                </a:ext>
              </a:extLst>
            </xdr:cNvPr>
            <xdr:cNvSpPr txBox="1"/>
          </xdr:nvSpPr>
          <xdr:spPr>
            <a:xfrm>
              <a:off x="2852812" y="3236054"/>
              <a:ext cx="455894" cy="210763"/>
            </a:xfrm>
            <a:prstGeom prst="rect">
              <a:avLst/>
            </a:prstGeom>
            <a:solidFill>
              <a:sysClr val="window" lastClr="FFFFFF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400" b="1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𝑻</m:t>
                    </m:r>
                    <m:r>
                      <a:rPr lang="en-US" sz="1400" b="1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+mn-ea"/>
                        <a:cs typeface="+mn-cs"/>
                      </a:rPr>
                      <m:t>,[</m:t>
                    </m:r>
                    <m:r>
                      <a:rPr lang="en-US" sz="1400" b="1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𝑪</m:t>
                    </m:r>
                    <m:r>
                      <a:rPr lang="en-US" sz="1400" b="1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+mn-ea"/>
                        <a:cs typeface="+mn-cs"/>
                      </a:rPr>
                      <m:t>]</m:t>
                    </m:r>
                  </m:oMath>
                </m:oMathPara>
              </a14:m>
              <a:endParaRPr lang="ru-RU" sz="1400" b="1" i="1">
                <a:solidFill>
                  <a:schemeClr val="tx1"/>
                </a:solidFill>
                <a:latin typeface="Cambria Math" panose="02040503050406030204" pitchFamily="18" charset="0"/>
                <a:ea typeface="+mn-ea"/>
                <a:cs typeface="+mn-cs"/>
              </a:endParaRPr>
            </a:p>
          </xdr:txBody>
        </xdr:sp>
      </mc:Choice>
      <mc:Fallback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xmlns:a14="http://schemas.microsoft.com/office/drawing/2010/main" xmlns="" id="{00000000-0008-0000-0000-000003000000}"/>
                </a:ext>
              </a:extLst>
            </xdr:cNvPr>
            <xdr:cNvSpPr txBox="1"/>
          </xdr:nvSpPr>
          <xdr:spPr>
            <a:xfrm>
              <a:off x="2852812" y="3236054"/>
              <a:ext cx="455894" cy="210763"/>
            </a:xfrm>
            <a:prstGeom prst="rect">
              <a:avLst/>
            </a:prstGeom>
            <a:solidFill>
              <a:sysClr val="window" lastClr="FFFFFF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400" b="1" i="0">
                  <a:solidFill>
                    <a:schemeClr val="tx1"/>
                  </a:solidFill>
                  <a:latin typeface="Cambria Math" panose="02040503050406030204" pitchFamily="18" charset="0"/>
                  <a:ea typeface="+mn-ea"/>
                  <a:cs typeface="+mn-cs"/>
                </a:rPr>
                <a:t>𝑻,[𝑪]</a:t>
              </a:r>
              <a:endParaRPr lang="ru-RU" sz="1400" b="1" i="1">
                <a:solidFill>
                  <a:schemeClr val="tx1"/>
                </a:solidFill>
                <a:latin typeface="Cambria Math" panose="02040503050406030204" pitchFamily="18" charset="0"/>
                <a:ea typeface="+mn-ea"/>
                <a:cs typeface="+mn-cs"/>
              </a:endParaRPr>
            </a:p>
          </xdr:txBody>
        </xdr:sp>
      </mc:Fallback>
    </mc:AlternateContent>
    <xdr:clientData/>
  </xdr:oneCellAnchor>
  <xdr:oneCellAnchor>
    <xdr:from>
      <xdr:col>18</xdr:col>
      <xdr:colOff>445996</xdr:colOff>
      <xdr:row>34</xdr:row>
      <xdr:rowOff>109817</xdr:rowOff>
    </xdr:from>
    <xdr:ext cx="501098" cy="219163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xmlns="" id="{00000000-0008-0000-0000-000004000000}"/>
                </a:ext>
              </a:extLst>
            </xdr:cNvPr>
            <xdr:cNvSpPr txBox="1"/>
          </xdr:nvSpPr>
          <xdr:spPr>
            <a:xfrm>
              <a:off x="9410702" y="6586817"/>
              <a:ext cx="501098" cy="219163"/>
            </a:xfrm>
            <a:prstGeom prst="rect">
              <a:avLst/>
            </a:prstGeom>
            <a:solidFill>
              <a:sysClr val="window" lastClr="FFFFFF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400" b="1" i="1">
                        <a:latin typeface="Cambria Math" panose="02040503050406030204" pitchFamily="18" charset="0"/>
                      </a:rPr>
                      <m:t>𝑳</m:t>
                    </m:r>
                    <m:r>
                      <a:rPr lang="en-US" sz="1400" b="1" i="1">
                        <a:latin typeface="Cambria Math" panose="02040503050406030204" pitchFamily="18" charset="0"/>
                      </a:rPr>
                      <m:t>,[</m:t>
                    </m:r>
                    <m:r>
                      <a:rPr lang="en-US" sz="1400" b="1" i="1">
                        <a:latin typeface="Cambria Math" panose="02040503050406030204" pitchFamily="18" charset="0"/>
                      </a:rPr>
                      <m:t>𝒎</m:t>
                    </m:r>
                    <m:r>
                      <a:rPr lang="en-US" sz="1400" b="1" i="1">
                        <a:latin typeface="Cambria Math" panose="02040503050406030204" pitchFamily="18" charset="0"/>
                      </a:rPr>
                      <m:t>]</m:t>
                    </m:r>
                  </m:oMath>
                </m:oMathPara>
              </a14:m>
              <a:endParaRPr lang="ru-RU" sz="1400" b="1"/>
            </a:p>
          </xdr:txBody>
        </xdr:sp>
      </mc:Choice>
      <mc:Fallback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xmlns:a14="http://schemas.microsoft.com/office/drawing/2010/main" xmlns="" id="{00000000-0008-0000-0000-000004000000}"/>
                </a:ext>
              </a:extLst>
            </xdr:cNvPr>
            <xdr:cNvSpPr txBox="1"/>
          </xdr:nvSpPr>
          <xdr:spPr>
            <a:xfrm>
              <a:off x="9410702" y="6586817"/>
              <a:ext cx="501098" cy="219163"/>
            </a:xfrm>
            <a:prstGeom prst="rect">
              <a:avLst/>
            </a:prstGeom>
            <a:solidFill>
              <a:sysClr val="window" lastClr="FFFFFF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400" b="1" i="0">
                  <a:latin typeface="Cambria Math" panose="02040503050406030204" pitchFamily="18" charset="0"/>
                </a:rPr>
                <a:t>𝑳,[𝒎]</a:t>
              </a:r>
              <a:endParaRPr lang="ru-RU" sz="1400" b="1"/>
            </a:p>
          </xdr:txBody>
        </xdr:sp>
      </mc:Fallback>
    </mc:AlternateContent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13944</xdr:colOff>
      <xdr:row>22</xdr:row>
      <xdr:rowOff>179456</xdr:rowOff>
    </xdr:from>
    <xdr:to>
      <xdr:col>15</xdr:col>
      <xdr:colOff>13607</xdr:colOff>
      <xdr:row>50</xdr:row>
      <xdr:rowOff>2759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xmlns="" id="{2E762428-6D5A-48BB-AC4B-00397AD2166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13805</xdr:colOff>
      <xdr:row>23</xdr:row>
      <xdr:rowOff>1</xdr:rowOff>
    </xdr:from>
    <xdr:to>
      <xdr:col>26</xdr:col>
      <xdr:colOff>734785</xdr:colOff>
      <xdr:row>49</xdr:row>
      <xdr:rowOff>179456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xmlns="" id="{A8A2A3BC-26E1-4266-849A-CBAF98131A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oneCellAnchor>
    <xdr:from>
      <xdr:col>25</xdr:col>
      <xdr:colOff>642610</xdr:colOff>
      <xdr:row>48</xdr:row>
      <xdr:rowOff>96236</xdr:rowOff>
    </xdr:from>
    <xdr:ext cx="498615" cy="219163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xmlns="" id="{8328EB5D-9D6A-4307-95BA-6E42CC52A521}"/>
                </a:ext>
              </a:extLst>
            </xdr:cNvPr>
            <xdr:cNvSpPr txBox="1"/>
          </xdr:nvSpPr>
          <xdr:spPr>
            <a:xfrm>
              <a:off x="19420467" y="9240236"/>
              <a:ext cx="498615" cy="21916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1400" b="1" i="1"/>
                <a:t>L,</a:t>
              </a:r>
              <a14:m>
                <m:oMath xmlns:m="http://schemas.openxmlformats.org/officeDocument/2006/math">
                  <m:d>
                    <m:dPr>
                      <m:begChr m:val="["/>
                      <m:endChr m:val="]"/>
                      <m:ctrlPr>
                        <a:rPr lang="ru-RU" sz="1400" b="1" i="1">
                          <a:latin typeface="Cambria Math"/>
                        </a:rPr>
                      </m:ctrlPr>
                    </m:dPr>
                    <m:e>
                      <m:r>
                        <a:rPr lang="en-US" sz="1400" b="1" i="1">
                          <a:latin typeface="Cambria Math" panose="02040503050406030204" pitchFamily="18" charset="0"/>
                        </a:rPr>
                        <m:t>𝒎</m:t>
                      </m:r>
                    </m:e>
                  </m:d>
                </m:oMath>
              </a14:m>
              <a:endParaRPr lang="ru-RU" sz="1400" b="1" i="1"/>
            </a:p>
          </xdr:txBody>
        </xdr:sp>
      </mc:Choice>
      <mc:Fallback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xmlns:a14="http://schemas.microsoft.com/office/drawing/2010/main" xmlns="" id="{8328EB5D-9D6A-4307-95BA-6E42CC52A521}"/>
                </a:ext>
              </a:extLst>
            </xdr:cNvPr>
            <xdr:cNvSpPr txBox="1"/>
          </xdr:nvSpPr>
          <xdr:spPr>
            <a:xfrm>
              <a:off x="19420467" y="9240236"/>
              <a:ext cx="498615" cy="21916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1400" b="1" i="1"/>
                <a:t>L,</a:t>
              </a:r>
              <a:r>
                <a:rPr lang="ru-RU" sz="1400" b="1" i="0">
                  <a:latin typeface="Cambria Math"/>
                </a:rPr>
                <a:t>[</a:t>
              </a:r>
              <a:r>
                <a:rPr lang="en-US" sz="1400" b="1" i="0">
                  <a:latin typeface="Cambria Math" panose="02040503050406030204" pitchFamily="18" charset="0"/>
                </a:rPr>
                <a:t>𝒎</a:t>
              </a:r>
              <a:r>
                <a:rPr lang="en-US" sz="1400" b="1" i="0">
                  <a:latin typeface="Cambria Math"/>
                </a:rPr>
                <a:t>]</a:t>
              </a:r>
              <a:endParaRPr lang="ru-RU" sz="1400" b="1" i="1"/>
            </a:p>
          </xdr:txBody>
        </xdr:sp>
      </mc:Fallback>
    </mc:AlternateContent>
    <xdr:clientData/>
  </xdr:oneCellAnchor>
  <xdr:oneCellAnchor>
    <xdr:from>
      <xdr:col>14</xdr:col>
      <xdr:colOff>190698</xdr:colOff>
      <xdr:row>46</xdr:row>
      <xdr:rowOff>178077</xdr:rowOff>
    </xdr:from>
    <xdr:ext cx="690217" cy="220869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xmlns="" id="{37E19F27-A272-4BFE-8998-64C8A52740F1}"/>
                </a:ext>
              </a:extLst>
            </xdr:cNvPr>
            <xdr:cNvSpPr txBox="1"/>
          </xdr:nvSpPr>
          <xdr:spPr>
            <a:xfrm>
              <a:off x="10600162" y="8941077"/>
              <a:ext cx="690217" cy="2208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400" b="1" i="1">
                        <a:latin typeface="Cambria Math" panose="02040503050406030204" pitchFamily="18" charset="0"/>
                      </a:rPr>
                      <m:t>𝑳</m:t>
                    </m:r>
                    <m:r>
                      <a:rPr lang="en-US" sz="1400" b="1" i="1">
                        <a:latin typeface="Cambria Math" panose="02040503050406030204" pitchFamily="18" charset="0"/>
                      </a:rPr>
                      <m:t>,</m:t>
                    </m:r>
                    <m:d>
                      <m:dPr>
                        <m:begChr m:val="["/>
                        <m:endChr m:val="]"/>
                        <m:ctrlPr>
                          <a:rPr lang="en-US" sz="1400" b="1" i="1">
                            <a:latin typeface="Cambria Math"/>
                          </a:rPr>
                        </m:ctrlPr>
                      </m:dPr>
                      <m:e>
                        <m:r>
                          <a:rPr lang="en-US" sz="1400" b="1" i="1">
                            <a:latin typeface="Cambria Math" panose="02040503050406030204" pitchFamily="18" charset="0"/>
                          </a:rPr>
                          <m:t>𝒎</m:t>
                        </m:r>
                      </m:e>
                    </m:d>
                  </m:oMath>
                </m:oMathPara>
              </a14:m>
              <a:endParaRPr lang="ru-RU" sz="1400" b="1"/>
            </a:p>
          </xdr:txBody>
        </xdr:sp>
      </mc:Choice>
      <mc:Fallback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xmlns:a14="http://schemas.microsoft.com/office/drawing/2010/main" xmlns="" id="{37E19F27-A272-4BFE-8998-64C8A52740F1}"/>
                </a:ext>
              </a:extLst>
            </xdr:cNvPr>
            <xdr:cNvSpPr txBox="1"/>
          </xdr:nvSpPr>
          <xdr:spPr>
            <a:xfrm>
              <a:off x="10600162" y="8941077"/>
              <a:ext cx="690217" cy="2208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:r>
                <a:rPr lang="en-US" sz="1400" b="1" i="0">
                  <a:latin typeface="Cambria Math" panose="02040503050406030204" pitchFamily="18" charset="0"/>
                </a:rPr>
                <a:t>𝑳,</a:t>
              </a:r>
              <a:r>
                <a:rPr lang="en-US" sz="1400" b="1" i="0">
                  <a:latin typeface="Cambria Math"/>
                </a:rPr>
                <a:t>[</a:t>
              </a:r>
              <a:r>
                <a:rPr lang="en-US" sz="1400" b="1" i="0">
                  <a:latin typeface="Cambria Math" panose="02040503050406030204" pitchFamily="18" charset="0"/>
                </a:rPr>
                <a:t>𝒎</a:t>
              </a:r>
              <a:r>
                <a:rPr lang="en-US" sz="1400" b="1" i="0">
                  <a:latin typeface="Cambria Math"/>
                </a:rPr>
                <a:t>]</a:t>
              </a:r>
              <a:endParaRPr lang="ru-RU" sz="1400" b="1"/>
            </a:p>
          </xdr:txBody>
        </xdr:sp>
      </mc:Fallback>
    </mc:AlternateContent>
    <xdr:clientData/>
  </xdr:oneCellAnchor>
  <xdr:oneCellAnchor>
    <xdr:from>
      <xdr:col>4</xdr:col>
      <xdr:colOff>25950</xdr:colOff>
      <xdr:row>23</xdr:row>
      <xdr:rowOff>32854</xdr:rowOff>
    </xdr:from>
    <xdr:ext cx="609050" cy="257037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xmlns="" id="{F7087F47-62A6-4844-9E13-BCBE65C39BDF}"/>
                </a:ext>
              </a:extLst>
            </xdr:cNvPr>
            <xdr:cNvSpPr txBox="1"/>
          </xdr:nvSpPr>
          <xdr:spPr>
            <a:xfrm>
              <a:off x="2455515" y="4477854"/>
              <a:ext cx="609050" cy="25703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400" b="1" i="1">
                        <a:latin typeface="Cambria Math" panose="02040503050406030204" pitchFamily="18" charset="0"/>
                      </a:rPr>
                      <m:t>𝑻</m:t>
                    </m:r>
                    <m:r>
                      <a:rPr lang="en-US" sz="1400" b="1" i="1">
                        <a:latin typeface="Cambria Math" panose="02040503050406030204" pitchFamily="18" charset="0"/>
                      </a:rPr>
                      <m:t>,</m:t>
                    </m:r>
                    <m:d>
                      <m:dPr>
                        <m:begChr m:val="["/>
                        <m:endChr m:val="]"/>
                        <m:ctrlPr>
                          <a:rPr lang="en-US" sz="1400" b="1" i="1">
                            <a:latin typeface="Cambria Math"/>
                          </a:rPr>
                        </m:ctrlPr>
                      </m:dPr>
                      <m:e>
                        <m:r>
                          <a:rPr lang="en-US" sz="1400" b="1" i="1">
                            <a:latin typeface="Cambria Math" panose="02040503050406030204" pitchFamily="18" charset="0"/>
                          </a:rPr>
                          <m:t>𝑪</m:t>
                        </m:r>
                      </m:e>
                    </m:d>
                  </m:oMath>
                </m:oMathPara>
              </a14:m>
              <a:endParaRPr lang="ru-RU" sz="1400" b="1"/>
            </a:p>
          </xdr:txBody>
        </xdr:sp>
      </mc:Choice>
      <mc:Fallback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xmlns:a14="http://schemas.microsoft.com/office/drawing/2010/main" xmlns="" id="{F7087F47-62A6-4844-9E13-BCBE65C39BDF}"/>
                </a:ext>
              </a:extLst>
            </xdr:cNvPr>
            <xdr:cNvSpPr txBox="1"/>
          </xdr:nvSpPr>
          <xdr:spPr>
            <a:xfrm>
              <a:off x="2455515" y="4477854"/>
              <a:ext cx="609050" cy="25703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:r>
                <a:rPr lang="en-US" sz="1400" b="1" i="0">
                  <a:latin typeface="Cambria Math" panose="02040503050406030204" pitchFamily="18" charset="0"/>
                </a:rPr>
                <a:t>𝑻,</a:t>
              </a:r>
              <a:r>
                <a:rPr lang="en-US" sz="1400" b="1" i="0">
                  <a:latin typeface="Cambria Math"/>
                </a:rPr>
                <a:t>[</a:t>
              </a:r>
              <a:r>
                <a:rPr lang="en-US" sz="1400" b="1" i="0">
                  <a:latin typeface="Cambria Math" panose="02040503050406030204" pitchFamily="18" charset="0"/>
                </a:rPr>
                <a:t>𝑪</a:t>
              </a:r>
              <a:r>
                <a:rPr lang="en-US" sz="1400" b="1" i="0">
                  <a:latin typeface="Cambria Math"/>
                </a:rPr>
                <a:t>]</a:t>
              </a:r>
              <a:endParaRPr lang="ru-RU" sz="1400" b="1"/>
            </a:p>
          </xdr:txBody>
        </xdr:sp>
      </mc:Fallback>
    </mc:AlternateContent>
    <xdr:clientData/>
  </xdr:oneCellAnchor>
  <xdr:oneCellAnchor>
    <xdr:from>
      <xdr:col>15</xdr:col>
      <xdr:colOff>754429</xdr:colOff>
      <xdr:row>24</xdr:row>
      <xdr:rowOff>74071</xdr:rowOff>
    </xdr:from>
    <xdr:ext cx="691874" cy="243234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xmlns="" id="{A40582F2-9E3A-4179-9353-D0C38B0EF1BA}"/>
                </a:ext>
              </a:extLst>
            </xdr:cNvPr>
            <xdr:cNvSpPr txBox="1"/>
          </xdr:nvSpPr>
          <xdr:spPr>
            <a:xfrm>
              <a:off x="11980322" y="4646071"/>
              <a:ext cx="691874" cy="24323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400" b="1" i="1">
                        <a:latin typeface="Cambria Math" panose="02040503050406030204" pitchFamily="18" charset="0"/>
                      </a:rPr>
                      <m:t>𝑻</m:t>
                    </m:r>
                    <m:r>
                      <a:rPr lang="en-US" sz="1400" b="1" i="1">
                        <a:latin typeface="Cambria Math" panose="02040503050406030204" pitchFamily="18" charset="0"/>
                      </a:rPr>
                      <m:t>,</m:t>
                    </m:r>
                    <m:d>
                      <m:dPr>
                        <m:begChr m:val="["/>
                        <m:endChr m:val="]"/>
                        <m:ctrlPr>
                          <a:rPr lang="en-US" sz="1400" b="1" i="1">
                            <a:latin typeface="Cambria Math"/>
                          </a:rPr>
                        </m:ctrlPr>
                      </m:dPr>
                      <m:e>
                        <m:r>
                          <a:rPr lang="en-US" sz="1400" b="1" i="1">
                            <a:latin typeface="Cambria Math" panose="02040503050406030204" pitchFamily="18" charset="0"/>
                          </a:rPr>
                          <m:t>𝑪</m:t>
                        </m:r>
                      </m:e>
                    </m:d>
                  </m:oMath>
                </m:oMathPara>
              </a14:m>
              <a:endParaRPr lang="ru-RU" sz="1400" b="1"/>
            </a:p>
          </xdr:txBody>
        </xdr:sp>
      </mc:Choice>
      <mc:Fallback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xmlns:a14="http://schemas.microsoft.com/office/drawing/2010/main" xmlns="" id="{A40582F2-9E3A-4179-9353-D0C38B0EF1BA}"/>
                </a:ext>
              </a:extLst>
            </xdr:cNvPr>
            <xdr:cNvSpPr txBox="1"/>
          </xdr:nvSpPr>
          <xdr:spPr>
            <a:xfrm>
              <a:off x="11980322" y="4646071"/>
              <a:ext cx="691874" cy="24323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:r>
                <a:rPr lang="en-US" sz="1400" b="1" i="0">
                  <a:latin typeface="Cambria Math" panose="02040503050406030204" pitchFamily="18" charset="0"/>
                </a:rPr>
                <a:t>𝑻,</a:t>
              </a:r>
              <a:r>
                <a:rPr lang="en-US" sz="1400" b="1" i="0">
                  <a:latin typeface="Cambria Math"/>
                </a:rPr>
                <a:t>[</a:t>
              </a:r>
              <a:r>
                <a:rPr lang="en-US" sz="1400" b="1" i="0">
                  <a:latin typeface="Cambria Math" panose="02040503050406030204" pitchFamily="18" charset="0"/>
                </a:rPr>
                <a:t>𝑪</a:t>
              </a:r>
              <a:r>
                <a:rPr lang="en-US" sz="1400" b="1" i="0">
                  <a:latin typeface="Cambria Math"/>
                </a:rPr>
                <a:t>]</a:t>
              </a:r>
              <a:endParaRPr lang="ru-RU" sz="1400" b="1"/>
            </a:p>
          </xdr:txBody>
        </xdr:sp>
      </mc:Fallback>
    </mc:AlternateContent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&#1086;/Downloads/2313_Firsi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неявная схема"/>
      <sheetName val="явная схема"/>
      <sheetName val="Лист3"/>
    </sheetNames>
    <sheetDataSet>
      <sheetData sheetId="0">
        <row r="11">
          <cell r="F11">
            <v>0</v>
          </cell>
          <cell r="G11">
            <v>3.3333333333333335E-3</v>
          </cell>
          <cell r="H11">
            <v>6.6666666666666671E-3</v>
          </cell>
          <cell r="I11">
            <v>0.01</v>
          </cell>
          <cell r="J11">
            <v>1.3333333333333334E-2</v>
          </cell>
          <cell r="K11">
            <v>1.6666666666666666E-2</v>
          </cell>
          <cell r="L11">
            <v>0.02</v>
          </cell>
          <cell r="M11">
            <v>2.3333333333333334E-2</v>
          </cell>
          <cell r="N11">
            <v>2.6666666666666668E-2</v>
          </cell>
          <cell r="O11">
            <v>3.0000000000000002E-2</v>
          </cell>
          <cell r="P11">
            <v>3.3333333333333333E-2</v>
          </cell>
          <cell r="Q11">
            <v>3.6666666666666667E-2</v>
          </cell>
          <cell r="R11">
            <v>0.04</v>
          </cell>
          <cell r="S11">
            <v>4.3333333333333335E-2</v>
          </cell>
          <cell r="T11">
            <v>4.6666666666666669E-2</v>
          </cell>
          <cell r="U11">
            <v>0.05</v>
          </cell>
          <cell r="V11">
            <v>5.3333333333333337E-2</v>
          </cell>
          <cell r="W11">
            <v>5.6666666666666671E-2</v>
          </cell>
          <cell r="X11">
            <v>6.0000000000000005E-2</v>
          </cell>
          <cell r="Y11">
            <v>6.3333333333333339E-2</v>
          </cell>
          <cell r="Z11">
            <v>6.6666666666666666E-2</v>
          </cell>
          <cell r="AA11">
            <v>6.9999999999999993E-2</v>
          </cell>
          <cell r="AB11">
            <v>7.333333333333332E-2</v>
          </cell>
          <cell r="AC11">
            <v>7.6666666666666647E-2</v>
          </cell>
          <cell r="AD11">
            <v>7.9999999999999974E-2</v>
          </cell>
          <cell r="AE11">
            <v>8.3333333333333301E-2</v>
          </cell>
          <cell r="AF11">
            <v>8.6666666666666628E-2</v>
          </cell>
          <cell r="AG11">
            <v>8.9999999999999955E-2</v>
          </cell>
          <cell r="AH11">
            <v>9.3333333333333282E-2</v>
          </cell>
          <cell r="AI11">
            <v>9.6666666666666609E-2</v>
          </cell>
          <cell r="AJ11">
            <v>9.9999999999999936E-2</v>
          </cell>
        </row>
        <row r="12">
          <cell r="F12">
            <v>300</v>
          </cell>
          <cell r="G12">
            <v>280.20114262798575</v>
          </cell>
          <cell r="H12">
            <v>260.57053452366904</v>
          </cell>
          <cell r="I12">
            <v>241.27335396752636</v>
          </cell>
          <cell r="J12">
            <v>222.46874067679317</v>
          </cell>
          <cell r="K12">
            <v>204.30702925674697</v>
          </cell>
          <cell r="L12">
            <v>186.92727013670742</v>
          </cell>
          <cell r="M12">
            <v>170.45510875086381</v>
          </cell>
          <cell r="N12">
            <v>155.00107463428773</v>
          </cell>
          <cell r="O12">
            <v>140.65931099015722</v>
          </cell>
          <cell r="P12">
            <v>127.5067536180474</v>
          </cell>
          <cell r="Q12">
            <v>115.60274732960713</v>
          </cell>
          <cell r="R12">
            <v>104.98906943559072</v>
          </cell>
          <cell r="S12">
            <v>95.690314648076594</v>
          </cell>
          <cell r="T12">
            <v>87.714584570723446</v>
          </cell>
          <cell r="U12">
            <v>81.054418255410752</v>
          </cell>
          <cell r="V12">
            <v>75.68789812172092</v>
          </cell>
          <cell r="W12">
            <v>71.579867553261167</v>
          </cell>
          <cell r="X12">
            <v>68.68320209085141</v>
          </cell>
          <cell r="Y12">
            <v>66.940084503407604</v>
          </cell>
          <cell r="Z12">
            <v>66.283244166503039</v>
          </cell>
          <cell r="AA12">
            <v>66.637132112902975</v>
          </cell>
          <cell r="AB12">
            <v>67.919013891339318</v>
          </cell>
          <cell r="AC12">
            <v>70.039972168091296</v>
          </cell>
          <cell r="AD12">
            <v>72.905819217013814</v>
          </cell>
          <cell r="AE12">
            <v>76.417925689672472</v>
          </cell>
          <cell r="AF12">
            <v>80.473976208137344</v>
          </cell>
          <cell r="AG12">
            <v>84.968664482862408</v>
          </cell>
          <cell r="AH12">
            <v>89.794341128753075</v>
          </cell>
          <cell r="AI12">
            <v>94.841626578966242</v>
          </cell>
          <cell r="AJ12">
            <v>100</v>
          </cell>
        </row>
      </sheetData>
      <sheetData sheetId="1">
        <row r="12">
          <cell r="F12">
            <v>0</v>
          </cell>
          <cell r="G12">
            <v>3.3333333333333335E-3</v>
          </cell>
          <cell r="H12">
            <v>6.6666666666666671E-3</v>
          </cell>
          <cell r="I12">
            <v>0.01</v>
          </cell>
          <cell r="J12">
            <v>1.3333333333333334E-2</v>
          </cell>
          <cell r="K12">
            <v>1.6666666666666666E-2</v>
          </cell>
          <cell r="L12">
            <v>0.02</v>
          </cell>
          <cell r="M12">
            <v>2.3333333333333334E-2</v>
          </cell>
          <cell r="N12">
            <v>2.6666666666666668E-2</v>
          </cell>
          <cell r="O12">
            <v>3.0000000000000002E-2</v>
          </cell>
          <cell r="P12">
            <v>3.3333333333333333E-2</v>
          </cell>
          <cell r="Q12">
            <v>3.6666666666666667E-2</v>
          </cell>
          <cell r="R12">
            <v>0.04</v>
          </cell>
          <cell r="S12">
            <v>4.3333333333333335E-2</v>
          </cell>
          <cell r="T12">
            <v>4.6666666666666669E-2</v>
          </cell>
          <cell r="U12">
            <v>0.05</v>
          </cell>
          <cell r="V12">
            <v>5.3333333333333337E-2</v>
          </cell>
          <cell r="W12">
            <v>5.6666666666666671E-2</v>
          </cell>
          <cell r="X12">
            <v>6.0000000000000005E-2</v>
          </cell>
          <cell r="Y12">
            <v>6.3333333333333339E-2</v>
          </cell>
          <cell r="Z12">
            <v>6.6666666666666666E-2</v>
          </cell>
          <cell r="AA12">
            <v>6.9999999999999993E-2</v>
          </cell>
          <cell r="AB12">
            <v>7.333333333333332E-2</v>
          </cell>
          <cell r="AC12">
            <v>7.6666666666666647E-2</v>
          </cell>
          <cell r="AD12">
            <v>7.9999999999999974E-2</v>
          </cell>
          <cell r="AE12">
            <v>8.3333333333333301E-2</v>
          </cell>
          <cell r="AF12">
            <v>8.6666666666666628E-2</v>
          </cell>
          <cell r="AG12">
            <v>8.9999999999999955E-2</v>
          </cell>
          <cell r="AH12">
            <v>9.3333333333333282E-2</v>
          </cell>
          <cell r="AI12">
            <v>9.6666666666666609E-2</v>
          </cell>
          <cell r="AJ12">
            <v>9.9999999999999936E-2</v>
          </cell>
        </row>
        <row r="13">
          <cell r="F13">
            <v>300</v>
          </cell>
          <cell r="G13">
            <v>0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  <cell r="AG13">
            <v>0</v>
          </cell>
          <cell r="AH13">
            <v>0</v>
          </cell>
          <cell r="AI13">
            <v>0</v>
          </cell>
          <cell r="AJ13">
            <v>100</v>
          </cell>
        </row>
      </sheetData>
      <sheetData sheetId="2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B3:AJ17"/>
  <sheetViews>
    <sheetView tabSelected="1" zoomScale="85" zoomScaleNormal="85" workbookViewId="0">
      <selection activeCell="W32" sqref="W32"/>
    </sheetView>
  </sheetViews>
  <sheetFormatPr defaultRowHeight="15" x14ac:dyDescent="0.25"/>
  <cols>
    <col min="3" max="3" width="10.7109375" bestFit="1" customWidth="1"/>
    <col min="6" max="36" width="6.7109375" style="2" customWidth="1"/>
  </cols>
  <sheetData>
    <row r="3" spans="2:36" x14ac:dyDescent="0.25">
      <c r="B3" s="4" t="s">
        <v>0</v>
      </c>
      <c r="C3" s="4">
        <v>0.1</v>
      </c>
    </row>
    <row r="4" spans="2:36" x14ac:dyDescent="0.25">
      <c r="B4" s="4" t="s">
        <v>2</v>
      </c>
      <c r="C4" s="5">
        <f>C3/30</f>
        <v>3.3333333333333335E-3</v>
      </c>
    </row>
    <row r="5" spans="2:36" x14ac:dyDescent="0.25">
      <c r="B5" s="4" t="s">
        <v>1</v>
      </c>
      <c r="C5" s="5">
        <f>(C9*C8*C4^2)/(2*C10)</f>
        <v>0.4333333333333334</v>
      </c>
    </row>
    <row r="6" spans="2:36" x14ac:dyDescent="0.25">
      <c r="B6" s="4" t="s">
        <v>3</v>
      </c>
      <c r="C6" s="4">
        <v>60</v>
      </c>
      <c r="D6" s="7">
        <v>60.43333333333333</v>
      </c>
    </row>
    <row r="7" spans="2:36" x14ac:dyDescent="0.25">
      <c r="B7" s="6"/>
      <c r="C7" s="6"/>
    </row>
    <row r="8" spans="2:36" x14ac:dyDescent="0.25">
      <c r="B8" s="4" t="s">
        <v>4</v>
      </c>
      <c r="C8" s="4">
        <v>460</v>
      </c>
    </row>
    <row r="9" spans="2:36" x14ac:dyDescent="0.25">
      <c r="B9" s="4" t="s">
        <v>5</v>
      </c>
      <c r="C9" s="4">
        <v>7800</v>
      </c>
    </row>
    <row r="10" spans="2:36" x14ac:dyDescent="0.25">
      <c r="B10" s="4" t="s">
        <v>6</v>
      </c>
      <c r="C10" s="4">
        <v>46</v>
      </c>
    </row>
    <row r="11" spans="2:36" x14ac:dyDescent="0.25">
      <c r="B11" s="6"/>
      <c r="C11" s="6"/>
      <c r="E11" s="7"/>
      <c r="F11" s="4">
        <v>1</v>
      </c>
      <c r="G11" s="4">
        <v>2</v>
      </c>
      <c r="H11" s="4">
        <v>3</v>
      </c>
      <c r="I11" s="4">
        <v>4</v>
      </c>
      <c r="J11" s="4">
        <v>5</v>
      </c>
      <c r="K11" s="4">
        <v>6</v>
      </c>
      <c r="L11" s="4">
        <v>7</v>
      </c>
      <c r="M11" s="4">
        <v>8</v>
      </c>
      <c r="N11" s="4">
        <v>9</v>
      </c>
      <c r="O11" s="4">
        <v>10</v>
      </c>
      <c r="P11" s="4">
        <v>11</v>
      </c>
      <c r="Q11" s="4">
        <v>12</v>
      </c>
      <c r="R11" s="4">
        <v>13</v>
      </c>
      <c r="S11" s="4">
        <v>14</v>
      </c>
      <c r="T11" s="4">
        <v>15</v>
      </c>
      <c r="U11" s="4">
        <v>16</v>
      </c>
      <c r="V11" s="4">
        <v>17</v>
      </c>
      <c r="W11" s="4">
        <v>18</v>
      </c>
      <c r="X11" s="4">
        <v>19</v>
      </c>
      <c r="Y11" s="4">
        <v>20</v>
      </c>
      <c r="Z11" s="4">
        <v>21</v>
      </c>
      <c r="AA11" s="4">
        <v>22</v>
      </c>
      <c r="AB11" s="4">
        <v>23</v>
      </c>
      <c r="AC11" s="4">
        <v>24</v>
      </c>
      <c r="AD11" s="4">
        <v>25</v>
      </c>
      <c r="AE11" s="4">
        <v>26</v>
      </c>
      <c r="AF11" s="4">
        <v>27</v>
      </c>
      <c r="AG11" s="4">
        <v>28</v>
      </c>
      <c r="AH11" s="4">
        <v>29</v>
      </c>
      <c r="AI11" s="4">
        <v>30</v>
      </c>
      <c r="AJ11" s="4">
        <v>31</v>
      </c>
    </row>
    <row r="12" spans="2:36" x14ac:dyDescent="0.25">
      <c r="B12" s="4" t="s">
        <v>8</v>
      </c>
      <c r="C12" s="4">
        <f>(((C10*C13)/(C4))-(C17*C16))/((C10/C4)-C17)</f>
        <v>77.1875</v>
      </c>
      <c r="E12" s="7" t="s">
        <v>0</v>
      </c>
      <c r="F12" s="10">
        <v>0</v>
      </c>
      <c r="G12" s="11">
        <f>F12+$C$4</f>
        <v>3.3333333333333335E-3</v>
      </c>
      <c r="H12" s="11">
        <f t="shared" ref="H12:AJ12" si="0">G12+$C$4</f>
        <v>6.6666666666666671E-3</v>
      </c>
      <c r="I12" s="11">
        <f t="shared" si="0"/>
        <v>0.01</v>
      </c>
      <c r="J12" s="11">
        <f t="shared" si="0"/>
        <v>1.3333333333333334E-2</v>
      </c>
      <c r="K12" s="11">
        <f t="shared" si="0"/>
        <v>1.6666666666666666E-2</v>
      </c>
      <c r="L12" s="11">
        <f t="shared" si="0"/>
        <v>0.02</v>
      </c>
      <c r="M12" s="11">
        <f t="shared" si="0"/>
        <v>2.3333333333333334E-2</v>
      </c>
      <c r="N12" s="11">
        <f t="shared" si="0"/>
        <v>2.6666666666666668E-2</v>
      </c>
      <c r="O12" s="11">
        <f t="shared" si="0"/>
        <v>3.0000000000000002E-2</v>
      </c>
      <c r="P12" s="11">
        <f t="shared" si="0"/>
        <v>3.3333333333333333E-2</v>
      </c>
      <c r="Q12" s="11">
        <f t="shared" si="0"/>
        <v>3.6666666666666667E-2</v>
      </c>
      <c r="R12" s="11">
        <f t="shared" si="0"/>
        <v>0.04</v>
      </c>
      <c r="S12" s="11">
        <f t="shared" si="0"/>
        <v>4.3333333333333335E-2</v>
      </c>
      <c r="T12" s="11">
        <f t="shared" si="0"/>
        <v>4.6666666666666669E-2</v>
      </c>
      <c r="U12" s="11">
        <f t="shared" si="0"/>
        <v>0.05</v>
      </c>
      <c r="V12" s="11">
        <f t="shared" si="0"/>
        <v>5.3333333333333337E-2</v>
      </c>
      <c r="W12" s="11">
        <f t="shared" si="0"/>
        <v>5.6666666666666671E-2</v>
      </c>
      <c r="X12" s="11">
        <f t="shared" si="0"/>
        <v>6.0000000000000005E-2</v>
      </c>
      <c r="Y12" s="11">
        <f t="shared" si="0"/>
        <v>6.3333333333333339E-2</v>
      </c>
      <c r="Z12" s="11">
        <f t="shared" si="0"/>
        <v>6.6666666666666666E-2</v>
      </c>
      <c r="AA12" s="11">
        <f t="shared" si="0"/>
        <v>6.9999999999999993E-2</v>
      </c>
      <c r="AB12" s="11">
        <f t="shared" si="0"/>
        <v>7.333333333333332E-2</v>
      </c>
      <c r="AC12" s="11">
        <f t="shared" si="0"/>
        <v>7.6666666666666647E-2</v>
      </c>
      <c r="AD12" s="11">
        <f t="shared" si="0"/>
        <v>7.9999999999999974E-2</v>
      </c>
      <c r="AE12" s="11">
        <f t="shared" si="0"/>
        <v>8.3333333333333301E-2</v>
      </c>
      <c r="AF12" s="11">
        <f t="shared" si="0"/>
        <v>8.6666666666666628E-2</v>
      </c>
      <c r="AG12" s="11">
        <f t="shared" si="0"/>
        <v>8.9999999999999955E-2</v>
      </c>
      <c r="AH12" s="11">
        <f t="shared" si="0"/>
        <v>9.3333333333333282E-2</v>
      </c>
      <c r="AI12" s="11">
        <f t="shared" si="0"/>
        <v>9.6666666666666609E-2</v>
      </c>
      <c r="AJ12" s="11">
        <f t="shared" si="0"/>
        <v>9.9999999999999936E-2</v>
      </c>
    </row>
    <row r="13" spans="2:36" x14ac:dyDescent="0.25">
      <c r="B13" s="4" t="s">
        <v>9</v>
      </c>
      <c r="C13" s="4">
        <v>100</v>
      </c>
      <c r="E13" s="7" t="s">
        <v>7</v>
      </c>
      <c r="F13" s="6">
        <f>C12</f>
        <v>77.1875</v>
      </c>
      <c r="G13" s="6">
        <v>69.27897497443162</v>
      </c>
      <c r="H13" s="6">
        <v>61.631114598660552</v>
      </c>
      <c r="I13" s="6">
        <v>53.983254222889485</v>
      </c>
      <c r="J13" s="6">
        <v>47.073291654565523</v>
      </c>
      <c r="K13" s="6">
        <v>40.163329086241561</v>
      </c>
      <c r="L13" s="6">
        <v>34.351807872058941</v>
      </c>
      <c r="M13" s="6">
        <v>28.540286657876337</v>
      </c>
      <c r="N13" s="6">
        <v>24.038831904441469</v>
      </c>
      <c r="O13" s="6">
        <v>19.537377151006602</v>
      </c>
      <c r="P13" s="6">
        <v>16.425256451770224</v>
      </c>
      <c r="Q13" s="6">
        <v>13.313135752533844</v>
      </c>
      <c r="R13" s="6">
        <v>11.591990293916941</v>
      </c>
      <c r="S13" s="6">
        <v>9.8708448353000371</v>
      </c>
      <c r="T13" s="6">
        <v>9.5328971921345005</v>
      </c>
      <c r="U13" s="6">
        <v>9.1949495489689639</v>
      </c>
      <c r="V13" s="6">
        <v>10.275681913833164</v>
      </c>
      <c r="W13" s="6">
        <v>11.356414278697365</v>
      </c>
      <c r="X13" s="6">
        <v>13.948903578299836</v>
      </c>
      <c r="Y13" s="6">
        <v>16.541392877902304</v>
      </c>
      <c r="Z13" s="6">
        <v>20.763692454464223</v>
      </c>
      <c r="AA13" s="6">
        <v>24.985992031026136</v>
      </c>
      <c r="AB13" s="6">
        <v>30.91072931914529</v>
      </c>
      <c r="AC13" s="6">
        <v>36.835466607264436</v>
      </c>
      <c r="AD13" s="6">
        <v>44.406642492981867</v>
      </c>
      <c r="AE13" s="6">
        <v>51.977818378699283</v>
      </c>
      <c r="AF13" s="6">
        <v>60.947819389736125</v>
      </c>
      <c r="AG13" s="6">
        <v>69.917820400772939</v>
      </c>
      <c r="AH13" s="6">
        <v>79.833562866789336</v>
      </c>
      <c r="AI13" s="6">
        <v>89.749305332805704</v>
      </c>
      <c r="AJ13" s="6">
        <f>C13</f>
        <v>100</v>
      </c>
    </row>
    <row r="14" spans="2:36" x14ac:dyDescent="0.25">
      <c r="B14" s="7"/>
      <c r="C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</row>
    <row r="15" spans="2:36" x14ac:dyDescent="0.25">
      <c r="B15" s="8"/>
      <c r="C15" s="7"/>
      <c r="E15" s="7" t="s">
        <v>10</v>
      </c>
      <c r="F15" s="7"/>
      <c r="G15" s="6">
        <f>G13+(($C$10*$C$5)/($C$9*$C$8))*((H13-2*G13+F13)/($C$4^2))</f>
        <v>69.40930729933028</v>
      </c>
      <c r="H15" s="6">
        <f t="shared" ref="H15:AI15" si="1">H13+(($C$10*$C$5)/($C$9*$C$8))*((I13-2*H13+G13)/($C$4^2))</f>
        <v>61.631114598660552</v>
      </c>
      <c r="I15" s="6">
        <f t="shared" si="1"/>
        <v>54.352203126613041</v>
      </c>
      <c r="J15" s="6">
        <f t="shared" si="1"/>
        <v>47.073291654565523</v>
      </c>
      <c r="K15" s="6">
        <f t="shared" si="1"/>
        <v>40.712549763312232</v>
      </c>
      <c r="L15" s="6">
        <f t="shared" si="1"/>
        <v>34.351807872058949</v>
      </c>
      <c r="M15" s="6">
        <f t="shared" si="1"/>
        <v>29.195319888250204</v>
      </c>
      <c r="N15" s="6">
        <f t="shared" si="1"/>
        <v>24.038831904441469</v>
      </c>
      <c r="O15" s="6">
        <f t="shared" si="1"/>
        <v>20.232044178105845</v>
      </c>
      <c r="P15" s="6">
        <f t="shared" si="1"/>
        <v>16.425256451770224</v>
      </c>
      <c r="Q15" s="6">
        <f t="shared" si="1"/>
        <v>14.008623372843584</v>
      </c>
      <c r="R15" s="6">
        <f t="shared" si="1"/>
        <v>11.59199029391694</v>
      </c>
      <c r="S15" s="6">
        <f t="shared" si="1"/>
        <v>10.562443743025721</v>
      </c>
      <c r="T15" s="6">
        <f t="shared" si="1"/>
        <v>9.5328971921345005</v>
      </c>
      <c r="U15" s="6">
        <f t="shared" si="1"/>
        <v>9.9042895529838333</v>
      </c>
      <c r="V15" s="6">
        <f t="shared" si="1"/>
        <v>10.275681913833164</v>
      </c>
      <c r="W15" s="6">
        <f t="shared" si="1"/>
        <v>12.112292746066499</v>
      </c>
      <c r="X15" s="6">
        <f t="shared" si="1"/>
        <v>13.948903578299834</v>
      </c>
      <c r="Y15" s="6">
        <f t="shared" si="1"/>
        <v>17.356298016382031</v>
      </c>
      <c r="Z15" s="6">
        <f t="shared" si="1"/>
        <v>20.76369245446422</v>
      </c>
      <c r="AA15" s="6">
        <f t="shared" si="1"/>
        <v>25.837210886804758</v>
      </c>
      <c r="AB15" s="6">
        <f t="shared" si="1"/>
        <v>30.910729319145286</v>
      </c>
      <c r="AC15" s="6">
        <f t="shared" si="1"/>
        <v>37.658685906063582</v>
      </c>
      <c r="AD15" s="6">
        <f t="shared" si="1"/>
        <v>44.40664249298186</v>
      </c>
      <c r="AE15" s="6">
        <f t="shared" si="1"/>
        <v>52.677230941358999</v>
      </c>
      <c r="AF15" s="6">
        <f t="shared" si="1"/>
        <v>60.947819389736111</v>
      </c>
      <c r="AG15" s="6">
        <f t="shared" si="1"/>
        <v>70.390691128262731</v>
      </c>
      <c r="AH15" s="6">
        <f t="shared" si="1"/>
        <v>79.833562866789322</v>
      </c>
      <c r="AI15" s="6">
        <f t="shared" si="1"/>
        <v>89.916781433394675</v>
      </c>
      <c r="AJ15" s="6"/>
    </row>
    <row r="16" spans="2:36" x14ac:dyDescent="0.25">
      <c r="B16" s="9" t="s">
        <v>11</v>
      </c>
      <c r="C16" s="4">
        <v>392</v>
      </c>
    </row>
    <row r="17" spans="2:3" x14ac:dyDescent="0.25">
      <c r="B17" s="9" t="s">
        <v>12</v>
      </c>
      <c r="C17" s="4">
        <v>1000</v>
      </c>
    </row>
  </sheetData>
  <conditionalFormatting sqref="F13:AJ13">
    <cfRule type="colorScale" priority="1">
      <colorScale>
        <cfvo type="min"/>
        <cfvo type="percentile" val="50"/>
        <cfvo type="max"/>
        <color rgb="FF0070C0"/>
        <color rgb="FFFFEB84"/>
        <color rgb="FFFF0000"/>
      </colorScale>
    </cfRule>
  </conditionalFormatting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3:AJ22"/>
  <sheetViews>
    <sheetView topLeftCell="A7" zoomScale="70" zoomScaleNormal="70" workbookViewId="0">
      <selection activeCell="H19" sqref="H19"/>
    </sheetView>
  </sheetViews>
  <sheetFormatPr defaultRowHeight="15" x14ac:dyDescent="0.25"/>
  <cols>
    <col min="6" max="16" width="12.140625" bestFit="1" customWidth="1"/>
    <col min="17" max="35" width="11.140625" bestFit="1" customWidth="1"/>
    <col min="36" max="36" width="9.28515625" bestFit="1" customWidth="1"/>
  </cols>
  <sheetData>
    <row r="3" spans="2:36" x14ac:dyDescent="0.25">
      <c r="B3" s="4" t="s">
        <v>0</v>
      </c>
      <c r="C3" s="4">
        <v>0.1</v>
      </c>
      <c r="D3" s="6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</row>
    <row r="4" spans="2:36" x14ac:dyDescent="0.25">
      <c r="B4" s="4" t="s">
        <v>2</v>
      </c>
      <c r="C4" s="5">
        <f>C3/30</f>
        <v>3.3333333333333335E-3</v>
      </c>
      <c r="D4" s="6"/>
      <c r="E4" s="6">
        <f>C5/C6</f>
        <v>138.46153846153845</v>
      </c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</row>
    <row r="5" spans="2:36" x14ac:dyDescent="0.25">
      <c r="B5" s="4" t="s">
        <v>3</v>
      </c>
      <c r="C5" s="12">
        <v>60</v>
      </c>
      <c r="D5" s="6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</row>
    <row r="6" spans="2:36" x14ac:dyDescent="0.25">
      <c r="B6" s="4" t="s">
        <v>1</v>
      </c>
      <c r="C6" s="13">
        <f>(C10*C9*C4^2)/(2*C11)</f>
        <v>0.4333333333333334</v>
      </c>
      <c r="D6" s="6">
        <v>60.233333333333341</v>
      </c>
      <c r="E6" s="1"/>
      <c r="F6" s="1"/>
      <c r="G6" s="3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</row>
    <row r="7" spans="2:36" x14ac:dyDescent="0.25">
      <c r="B7" s="14"/>
      <c r="C7" s="14"/>
      <c r="D7" s="14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</row>
    <row r="8" spans="2:36" x14ac:dyDescent="0.25">
      <c r="B8" s="6"/>
      <c r="C8" s="6"/>
      <c r="D8" s="6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</row>
    <row r="9" spans="2:36" x14ac:dyDescent="0.25">
      <c r="B9" s="4" t="s">
        <v>4</v>
      </c>
      <c r="C9" s="4">
        <v>460</v>
      </c>
      <c r="D9" s="6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</row>
    <row r="10" spans="2:36" x14ac:dyDescent="0.25">
      <c r="B10" s="4" t="s">
        <v>5</v>
      </c>
      <c r="C10" s="4">
        <v>7800</v>
      </c>
      <c r="D10" s="6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</row>
    <row r="11" spans="2:36" x14ac:dyDescent="0.25">
      <c r="B11" s="4" t="s">
        <v>6</v>
      </c>
      <c r="C11" s="4">
        <v>46</v>
      </c>
      <c r="D11" s="6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</row>
    <row r="12" spans="2:36" x14ac:dyDescent="0.25">
      <c r="B12" s="14"/>
      <c r="C12" s="14"/>
      <c r="D12" s="6"/>
      <c r="E12" s="6"/>
      <c r="F12" s="4">
        <v>1</v>
      </c>
      <c r="G12" s="4">
        <v>2</v>
      </c>
      <c r="H12" s="4">
        <v>3</v>
      </c>
      <c r="I12" s="4">
        <v>4</v>
      </c>
      <c r="J12" s="4">
        <v>5</v>
      </c>
      <c r="K12" s="4">
        <v>6</v>
      </c>
      <c r="L12" s="4">
        <v>7</v>
      </c>
      <c r="M12" s="4">
        <v>8</v>
      </c>
      <c r="N12" s="4">
        <v>9</v>
      </c>
      <c r="O12" s="4">
        <v>10</v>
      </c>
      <c r="P12" s="4">
        <v>11</v>
      </c>
      <c r="Q12" s="4">
        <v>12</v>
      </c>
      <c r="R12" s="4">
        <v>13</v>
      </c>
      <c r="S12" s="4">
        <v>14</v>
      </c>
      <c r="T12" s="4">
        <v>15</v>
      </c>
      <c r="U12" s="4">
        <v>16</v>
      </c>
      <c r="V12" s="4">
        <v>17</v>
      </c>
      <c r="W12" s="4">
        <v>18</v>
      </c>
      <c r="X12" s="4">
        <v>19</v>
      </c>
      <c r="Y12" s="4">
        <v>20</v>
      </c>
      <c r="Z12" s="4">
        <v>21</v>
      </c>
      <c r="AA12" s="4">
        <v>22</v>
      </c>
      <c r="AB12" s="4">
        <v>23</v>
      </c>
      <c r="AC12" s="4">
        <v>24</v>
      </c>
      <c r="AD12" s="4">
        <v>25</v>
      </c>
      <c r="AE12" s="4">
        <v>26</v>
      </c>
      <c r="AF12" s="4">
        <v>27</v>
      </c>
      <c r="AG12" s="4">
        <v>28</v>
      </c>
      <c r="AH12" s="4">
        <v>29</v>
      </c>
      <c r="AI12" s="4">
        <v>30</v>
      </c>
      <c r="AJ12" s="4">
        <v>31</v>
      </c>
    </row>
    <row r="13" spans="2:36" x14ac:dyDescent="0.25">
      <c r="B13" s="6"/>
      <c r="C13" s="6"/>
      <c r="D13" s="6"/>
      <c r="E13" s="6" t="s">
        <v>0</v>
      </c>
      <c r="F13" s="11">
        <v>0</v>
      </c>
      <c r="G13" s="11">
        <f t="shared" ref="G13:AJ13" si="0">F13+$C$4</f>
        <v>3.3333333333333335E-3</v>
      </c>
      <c r="H13" s="11">
        <f t="shared" si="0"/>
        <v>6.6666666666666671E-3</v>
      </c>
      <c r="I13" s="11">
        <f t="shared" si="0"/>
        <v>0.01</v>
      </c>
      <c r="J13" s="11">
        <f t="shared" si="0"/>
        <v>1.3333333333333334E-2</v>
      </c>
      <c r="K13" s="11">
        <f t="shared" si="0"/>
        <v>1.6666666666666666E-2</v>
      </c>
      <c r="L13" s="11">
        <f t="shared" si="0"/>
        <v>0.02</v>
      </c>
      <c r="M13" s="11">
        <f t="shared" si="0"/>
        <v>2.3333333333333334E-2</v>
      </c>
      <c r="N13" s="11">
        <f t="shared" si="0"/>
        <v>2.6666666666666668E-2</v>
      </c>
      <c r="O13" s="11">
        <f t="shared" si="0"/>
        <v>3.0000000000000002E-2</v>
      </c>
      <c r="P13" s="11">
        <f t="shared" si="0"/>
        <v>3.3333333333333333E-2</v>
      </c>
      <c r="Q13" s="11">
        <f t="shared" si="0"/>
        <v>3.6666666666666667E-2</v>
      </c>
      <c r="R13" s="11">
        <f t="shared" si="0"/>
        <v>0.04</v>
      </c>
      <c r="S13" s="11">
        <f t="shared" si="0"/>
        <v>4.3333333333333335E-2</v>
      </c>
      <c r="T13" s="11">
        <f t="shared" si="0"/>
        <v>4.6666666666666669E-2</v>
      </c>
      <c r="U13" s="11">
        <f t="shared" si="0"/>
        <v>0.05</v>
      </c>
      <c r="V13" s="11">
        <f t="shared" si="0"/>
        <v>5.3333333333333337E-2</v>
      </c>
      <c r="W13" s="11">
        <f t="shared" si="0"/>
        <v>5.6666666666666671E-2</v>
      </c>
      <c r="X13" s="11">
        <f t="shared" si="0"/>
        <v>6.0000000000000005E-2</v>
      </c>
      <c r="Y13" s="11">
        <f t="shared" si="0"/>
        <v>6.3333333333333339E-2</v>
      </c>
      <c r="Z13" s="11">
        <f t="shared" si="0"/>
        <v>6.6666666666666666E-2</v>
      </c>
      <c r="AA13" s="11">
        <f t="shared" si="0"/>
        <v>6.9999999999999993E-2</v>
      </c>
      <c r="AB13" s="11">
        <f t="shared" si="0"/>
        <v>7.333333333333332E-2</v>
      </c>
      <c r="AC13" s="11">
        <f t="shared" si="0"/>
        <v>7.6666666666666647E-2</v>
      </c>
      <c r="AD13" s="11">
        <f t="shared" si="0"/>
        <v>7.9999999999999974E-2</v>
      </c>
      <c r="AE13" s="11">
        <f t="shared" si="0"/>
        <v>8.3333333333333301E-2</v>
      </c>
      <c r="AF13" s="11">
        <f t="shared" si="0"/>
        <v>8.6666666666666628E-2</v>
      </c>
      <c r="AG13" s="11">
        <f t="shared" si="0"/>
        <v>8.9999999999999955E-2</v>
      </c>
      <c r="AH13" s="11">
        <f t="shared" si="0"/>
        <v>9.3333333333333282E-2</v>
      </c>
      <c r="AI13" s="11">
        <f t="shared" si="0"/>
        <v>9.6666666666666609E-2</v>
      </c>
      <c r="AJ13" s="11">
        <f t="shared" si="0"/>
        <v>9.9999999999999936E-2</v>
      </c>
    </row>
    <row r="14" spans="2:36" x14ac:dyDescent="0.25">
      <c r="B14" s="4" t="s">
        <v>8</v>
      </c>
      <c r="C14" s="4">
        <v>300</v>
      </c>
      <c r="D14" s="6"/>
      <c r="E14" s="6" t="s">
        <v>7</v>
      </c>
      <c r="F14" s="6">
        <v>300</v>
      </c>
      <c r="G14" s="6">
        <v>280.20114262798575</v>
      </c>
      <c r="H14" s="6">
        <v>260.57053452366904</v>
      </c>
      <c r="I14" s="6">
        <v>241.27335396752636</v>
      </c>
      <c r="J14" s="6">
        <v>222.46874067679317</v>
      </c>
      <c r="K14" s="6">
        <v>204.30702925674697</v>
      </c>
      <c r="L14" s="6">
        <v>186.92727013670742</v>
      </c>
      <c r="M14" s="6">
        <v>170.45510875086381</v>
      </c>
      <c r="N14" s="6">
        <v>155.00107463428773</v>
      </c>
      <c r="O14" s="6">
        <v>140.65931099015722</v>
      </c>
      <c r="P14" s="6">
        <v>127.5067536180474</v>
      </c>
      <c r="Q14" s="6">
        <v>115.60274732960713</v>
      </c>
      <c r="R14" s="6">
        <v>104.98906943559072</v>
      </c>
      <c r="S14" s="6">
        <v>95.690314648076594</v>
      </c>
      <c r="T14" s="6">
        <v>87.714584570723446</v>
      </c>
      <c r="U14" s="6">
        <v>81.054418255410752</v>
      </c>
      <c r="V14" s="6">
        <v>75.68789812172092</v>
      </c>
      <c r="W14" s="6">
        <v>71.579867553261167</v>
      </c>
      <c r="X14" s="6">
        <v>68.68320209085141</v>
      </c>
      <c r="Y14" s="6">
        <v>66.940084503407604</v>
      </c>
      <c r="Z14" s="6">
        <v>66.283244166503039</v>
      </c>
      <c r="AA14" s="6">
        <v>66.637132112902975</v>
      </c>
      <c r="AB14" s="6">
        <v>67.919013891339318</v>
      </c>
      <c r="AC14" s="6">
        <v>70.039972168091296</v>
      </c>
      <c r="AD14" s="6">
        <v>72.905819217013814</v>
      </c>
      <c r="AE14" s="6">
        <v>76.417925689672472</v>
      </c>
      <c r="AF14" s="6">
        <v>80.473976208137344</v>
      </c>
      <c r="AG14" s="6">
        <v>84.968664482862408</v>
      </c>
      <c r="AH14" s="6">
        <v>89.794341128753075</v>
      </c>
      <c r="AI14" s="6">
        <v>94.841626578966242</v>
      </c>
      <c r="AJ14" s="6">
        <v>100</v>
      </c>
    </row>
    <row r="15" spans="2:36" x14ac:dyDescent="0.25">
      <c r="B15" s="4" t="s">
        <v>9</v>
      </c>
      <c r="C15" s="4">
        <v>100</v>
      </c>
      <c r="D15" s="6"/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</row>
    <row r="16" spans="2:36" x14ac:dyDescent="0.25">
      <c r="B16" s="6"/>
      <c r="C16" s="6"/>
      <c r="D16" s="6"/>
      <c r="E16" s="14" t="s">
        <v>10</v>
      </c>
      <c r="F16" s="14"/>
      <c r="G16" s="4">
        <f t="shared" ref="G16:AH16" si="1">G20*H16+G21</f>
        <v>280.28451209215399</v>
      </c>
      <c r="H16" s="4">
        <f t="shared" si="1"/>
        <v>260.73576311264441</v>
      </c>
      <c r="I16" s="4">
        <f t="shared" si="1"/>
        <v>241.51747131108542</v>
      </c>
      <c r="J16" s="4">
        <f t="shared" si="1"/>
        <v>222.78741419664442</v>
      </c>
      <c r="K16" s="4">
        <f t="shared" si="1"/>
        <v>204.69470412190589</v>
      </c>
      <c r="L16" s="4">
        <f t="shared" si="1"/>
        <v>187.37734377748521</v>
      </c>
      <c r="M16" s="4">
        <f t="shared" si="1"/>
        <v>170.96013071462008</v>
      </c>
      <c r="N16" s="4">
        <f t="shared" si="1"/>
        <v>155.55296157926747</v>
      </c>
      <c r="O16" s="4">
        <f t="shared" si="1"/>
        <v>141.24956633387433</v>
      </c>
      <c r="P16" s="4">
        <f t="shared" si="1"/>
        <v>128.12668177591533</v>
      </c>
      <c r="Q16" s="4">
        <f t="shared" si="1"/>
        <v>116.24365353369214</v>
      </c>
      <c r="R16" s="4">
        <f t="shared" si="1"/>
        <v>105.64243769963892</v>
      </c>
      <c r="S16" s="4">
        <f t="shared" si="1"/>
        <v>96.347958393682063</v>
      </c>
      <c r="T16" s="4">
        <f t="shared" si="1"/>
        <v>88.368766578936132</v>
      </c>
      <c r="U16" s="4">
        <f t="shared" si="1"/>
        <v>81.697938780615559</v>
      </c>
      <c r="V16" s="4">
        <f t="shared" si="1"/>
        <v>76.314152032704555</v>
      </c>
      <c r="W16" s="4">
        <f t="shared" si="1"/>
        <v>72.182873106760752</v>
      </c>
      <c r="X16" s="4">
        <f t="shared" si="1"/>
        <v>69.257605287816148</v>
      </c>
      <c r="Y16" s="4">
        <f t="shared" si="1"/>
        <v>67.481143862800991</v>
      </c>
      <c r="Z16" s="4">
        <f t="shared" si="1"/>
        <v>66.786801156572579</v>
      </c>
      <c r="AA16" s="4">
        <f t="shared" si="1"/>
        <v>67.099572430483207</v>
      </c>
      <c r="AB16" s="4">
        <f t="shared" si="1"/>
        <v>68.337224339554268</v>
      </c>
      <c r="AC16" s="4">
        <f t="shared" si="1"/>
        <v>70.411297145055215</v>
      </c>
      <c r="AD16" s="4">
        <f t="shared" si="1"/>
        <v>73.228019904484</v>
      </c>
      <c r="AE16" s="4">
        <f t="shared" si="1"/>
        <v>76.689144038853158</v>
      </c>
      <c r="AF16" s="4">
        <f t="shared" si="1"/>
        <v>80.692704871583686</v>
      </c>
      <c r="AG16" s="4">
        <f t="shared" si="1"/>
        <v>85.13372303120687</v>
      </c>
      <c r="AH16" s="4">
        <f t="shared" si="1"/>
        <v>89.904858287518977</v>
      </c>
      <c r="AI16" s="4">
        <f>AI20*AJ16+AI21</f>
        <v>94.897027861362858</v>
      </c>
      <c r="AJ16" s="4">
        <f>AJ14</f>
        <v>100</v>
      </c>
    </row>
    <row r="17" spans="2:36" x14ac:dyDescent="0.25">
      <c r="B17" s="4" t="s">
        <v>13</v>
      </c>
      <c r="C17" s="4">
        <f>C11/(C4^2)</f>
        <v>4139999.9999999991</v>
      </c>
      <c r="D17" s="6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</row>
    <row r="18" spans="2:36" x14ac:dyDescent="0.25">
      <c r="B18" s="4" t="s">
        <v>14</v>
      </c>
      <c r="C18" s="4">
        <f>(2*C11)/(C4^2)+(C10*C9)/C6</f>
        <v>16559999.999999996</v>
      </c>
      <c r="D18" s="6"/>
      <c r="E18" s="6" t="s">
        <v>15</v>
      </c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</row>
    <row r="19" spans="2:36" x14ac:dyDescent="0.25">
      <c r="B19" s="4" t="s">
        <v>16</v>
      </c>
      <c r="C19" s="4">
        <f>C17</f>
        <v>4139999.9999999991</v>
      </c>
      <c r="D19" s="6"/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</row>
    <row r="20" spans="2:36" x14ac:dyDescent="0.25">
      <c r="B20" s="1"/>
      <c r="C20" s="1"/>
      <c r="D20" s="1"/>
      <c r="E20" s="14" t="s">
        <v>18</v>
      </c>
      <c r="F20" s="4">
        <v>0</v>
      </c>
      <c r="G20" s="4">
        <f t="shared" ref="G20:AI20" si="2">$C$17/($C$18-$C$19*F20)</f>
        <v>0.25</v>
      </c>
      <c r="H20" s="4">
        <f t="shared" si="2"/>
        <v>0.26666666666666666</v>
      </c>
      <c r="I20" s="4">
        <f t="shared" si="2"/>
        <v>0.26785714285714285</v>
      </c>
      <c r="J20" s="4">
        <f t="shared" si="2"/>
        <v>0.26794258373205743</v>
      </c>
      <c r="K20" s="4">
        <f t="shared" si="2"/>
        <v>0.26794871794871794</v>
      </c>
      <c r="L20" s="4">
        <f t="shared" si="2"/>
        <v>0.26794915836482308</v>
      </c>
      <c r="M20" s="4">
        <f t="shared" si="2"/>
        <v>0.26794918998527245</v>
      </c>
      <c r="N20" s="4">
        <f t="shared" si="2"/>
        <v>0.26794919225551855</v>
      </c>
      <c r="O20" s="4">
        <f t="shared" si="2"/>
        <v>0.26794919241851489</v>
      </c>
      <c r="P20" s="4">
        <f t="shared" si="2"/>
        <v>0.26794919243021753</v>
      </c>
      <c r="Q20" s="4">
        <f t="shared" si="2"/>
        <v>0.26794919243105775</v>
      </c>
      <c r="R20" s="4">
        <f t="shared" si="2"/>
        <v>0.26794919243111803</v>
      </c>
      <c r="S20" s="4">
        <f t="shared" si="2"/>
        <v>0.26794919243112236</v>
      </c>
      <c r="T20" s="4">
        <f t="shared" si="2"/>
        <v>0.2679491924311227</v>
      </c>
      <c r="U20" s="4">
        <f t="shared" si="2"/>
        <v>0.2679491924311227</v>
      </c>
      <c r="V20" s="4">
        <f t="shared" si="2"/>
        <v>0.2679491924311227</v>
      </c>
      <c r="W20" s="4">
        <f t="shared" si="2"/>
        <v>0.2679491924311227</v>
      </c>
      <c r="X20" s="4">
        <f t="shared" si="2"/>
        <v>0.2679491924311227</v>
      </c>
      <c r="Y20" s="4">
        <f t="shared" si="2"/>
        <v>0.2679491924311227</v>
      </c>
      <c r="Z20" s="4">
        <f t="shared" si="2"/>
        <v>0.2679491924311227</v>
      </c>
      <c r="AA20" s="4">
        <f t="shared" si="2"/>
        <v>0.2679491924311227</v>
      </c>
      <c r="AB20" s="4">
        <f t="shared" si="2"/>
        <v>0.2679491924311227</v>
      </c>
      <c r="AC20" s="4">
        <f t="shared" si="2"/>
        <v>0.2679491924311227</v>
      </c>
      <c r="AD20" s="4">
        <f t="shared" si="2"/>
        <v>0.2679491924311227</v>
      </c>
      <c r="AE20" s="4">
        <f t="shared" si="2"/>
        <v>0.2679491924311227</v>
      </c>
      <c r="AF20" s="4">
        <f t="shared" si="2"/>
        <v>0.2679491924311227</v>
      </c>
      <c r="AG20" s="4">
        <f t="shared" si="2"/>
        <v>0.2679491924311227</v>
      </c>
      <c r="AH20" s="4">
        <f t="shared" si="2"/>
        <v>0.2679491924311227</v>
      </c>
      <c r="AI20" s="4">
        <f t="shared" si="2"/>
        <v>0.2679491924311227</v>
      </c>
      <c r="AJ20" s="6"/>
    </row>
    <row r="21" spans="2:36" x14ac:dyDescent="0.25">
      <c r="B21" s="1"/>
      <c r="C21" s="1"/>
      <c r="D21" s="1"/>
      <c r="E21" s="14" t="s">
        <v>19</v>
      </c>
      <c r="F21" s="4">
        <f>F14</f>
        <v>300</v>
      </c>
      <c r="G21" s="4">
        <f t="shared" ref="G21:AI21" si="3">(F21*$C$19-G22)/($C$18-$C$19*F20)</f>
        <v>215.1005713139929</v>
      </c>
      <c r="H21" s="4">
        <f t="shared" si="3"/>
        <v>196.33110409635498</v>
      </c>
      <c r="I21" s="4">
        <f t="shared" si="3"/>
        <v>181.84227107984137</v>
      </c>
      <c r="J21" s="4">
        <f t="shared" si="3"/>
        <v>167.94098629795192</v>
      </c>
      <c r="K21" s="4">
        <f t="shared" si="3"/>
        <v>154.48718508409254</v>
      </c>
      <c r="L21" s="4">
        <f t="shared" si="3"/>
        <v>141.56872063856261</v>
      </c>
      <c r="M21" s="4">
        <f t="shared" si="3"/>
        <v>129.27984065964515</v>
      </c>
      <c r="N21" s="4">
        <f t="shared" si="3"/>
        <v>117.70525437366356</v>
      </c>
      <c r="O21" s="4">
        <f t="shared" si="3"/>
        <v>106.91812542475377</v>
      </c>
      <c r="P21" s="4">
        <f t="shared" si="3"/>
        <v>96.979288686424511</v>
      </c>
      <c r="Q21" s="4">
        <f t="shared" si="3"/>
        <v>87.936847665625564</v>
      </c>
      <c r="R21" s="4">
        <f t="shared" si="3"/>
        <v>79.826080055664846</v>
      </c>
      <c r="S21" s="4">
        <f t="shared" si="3"/>
        <v>72.669618752721775</v>
      </c>
      <c r="T21" s="4">
        <f t="shared" si="3"/>
        <v>66.477869859382892</v>
      </c>
      <c r="U21" s="4">
        <f t="shared" si="3"/>
        <v>61.249623372386452</v>
      </c>
      <c r="V21" s="4">
        <f t="shared" si="3"/>
        <v>56.972809476389799</v>
      </c>
      <c r="W21" s="4">
        <f t="shared" si="3"/>
        <v>53.625353700176966</v>
      </c>
      <c r="X21" s="4">
        <f t="shared" si="3"/>
        <v>51.176087285450215</v>
      </c>
      <c r="Y21" s="4">
        <f t="shared" si="3"/>
        <v>49.585674427839393</v>
      </c>
      <c r="Z21" s="4">
        <f t="shared" si="3"/>
        <v>48.807524911350974</v>
      </c>
      <c r="AA21" s="4">
        <f t="shared" si="3"/>
        <v>48.788668355715174</v>
      </c>
      <c r="AB21" s="4">
        <f t="shared" si="3"/>
        <v>49.470574131508911</v>
      </c>
      <c r="AC21" s="4">
        <f t="shared" si="3"/>
        <v>50.789908348318555</v>
      </c>
      <c r="AD21" s="4">
        <f t="shared" si="3"/>
        <v>52.679225691039257</v>
      </c>
      <c r="AE21" s="4">
        <f t="shared" si="3"/>
        <v>55.067598933429394</v>
      </c>
      <c r="AF21" s="4">
        <f t="shared" si="3"/>
        <v>57.881192536716931</v>
      </c>
      <c r="AG21" s="4">
        <f t="shared" si="3"/>
        <v>61.043788857431636</v>
      </c>
      <c r="AH21" s="4">
        <f t="shared" si="3"/>
        <v>64.477276307953048</v>
      </c>
      <c r="AI21" s="4">
        <f t="shared" si="3"/>
        <v>68.102108618250597</v>
      </c>
      <c r="AJ21" s="6"/>
    </row>
    <row r="22" spans="2:36" x14ac:dyDescent="0.25">
      <c r="B22" s="1"/>
      <c r="C22" s="1"/>
      <c r="D22" s="1"/>
      <c r="E22" s="14" t="s">
        <v>17</v>
      </c>
      <c r="F22" s="4">
        <f t="shared" ref="F22:AI22" si="4">-(($C$10*$C$9)/$C$6)*F14</f>
        <v>-2483999999.9999995</v>
      </c>
      <c r="G22" s="4">
        <f t="shared" si="4"/>
        <v>-2320065460.9597216</v>
      </c>
      <c r="H22" s="4">
        <f t="shared" si="4"/>
        <v>-2157524025.8559794</v>
      </c>
      <c r="I22" s="4">
        <f t="shared" si="4"/>
        <v>-1997743370.8511181</v>
      </c>
      <c r="J22" s="4">
        <f t="shared" si="4"/>
        <v>-1842041172.8038473</v>
      </c>
      <c r="K22" s="4">
        <f t="shared" si="4"/>
        <v>-1691662202.2458646</v>
      </c>
      <c r="L22" s="4">
        <f t="shared" si="4"/>
        <v>-1547757796.7319372</v>
      </c>
      <c r="M22" s="4">
        <f t="shared" si="4"/>
        <v>-1411368300.4571521</v>
      </c>
      <c r="N22" s="4">
        <f t="shared" si="4"/>
        <v>-1283408897.9719024</v>
      </c>
      <c r="O22" s="4">
        <f t="shared" si="4"/>
        <v>-1164659094.9985018</v>
      </c>
      <c r="P22" s="4">
        <f t="shared" si="4"/>
        <v>-1055755919.9574324</v>
      </c>
      <c r="Q22" s="4">
        <f t="shared" si="4"/>
        <v>-957190747.88914692</v>
      </c>
      <c r="R22" s="4">
        <f t="shared" si="4"/>
        <v>-869309494.92669106</v>
      </c>
      <c r="S22" s="4">
        <f t="shared" si="4"/>
        <v>-792315805.28607416</v>
      </c>
      <c r="T22" s="4">
        <f t="shared" si="4"/>
        <v>-726276760.24559009</v>
      </c>
      <c r="U22" s="4">
        <f t="shared" si="4"/>
        <v>-671130583.15480101</v>
      </c>
      <c r="V22" s="4">
        <f t="shared" si="4"/>
        <v>-626695796.44784915</v>
      </c>
      <c r="W22" s="4">
        <f t="shared" si="4"/>
        <v>-592681303.34100235</v>
      </c>
      <c r="X22" s="4">
        <f t="shared" si="4"/>
        <v>-568696913.31224966</v>
      </c>
      <c r="Y22" s="4">
        <f t="shared" si="4"/>
        <v>-554263899.6882149</v>
      </c>
      <c r="Z22" s="4">
        <f t="shared" si="4"/>
        <v>-548825261.69864511</v>
      </c>
      <c r="AA22" s="4">
        <f t="shared" si="4"/>
        <v>-551755453.89483654</v>
      </c>
      <c r="AB22" s="4">
        <f t="shared" si="4"/>
        <v>-562369435.02028954</v>
      </c>
      <c r="AC22" s="4">
        <f t="shared" si="4"/>
        <v>-579930969.55179584</v>
      </c>
      <c r="AD22" s="4">
        <f t="shared" si="4"/>
        <v>-603660183.11687434</v>
      </c>
      <c r="AE22" s="4">
        <f t="shared" si="4"/>
        <v>-632740424.71048796</v>
      </c>
      <c r="AF22" s="4">
        <f t="shared" si="4"/>
        <v>-666324523.00337708</v>
      </c>
      <c r="AG22" s="4">
        <f t="shared" si="4"/>
        <v>-703540541.91810071</v>
      </c>
      <c r="AH22" s="4">
        <f t="shared" si="4"/>
        <v>-743497144.54607534</v>
      </c>
      <c r="AI22" s="4">
        <f t="shared" si="4"/>
        <v>-785288668.07384038</v>
      </c>
      <c r="AJ22" s="6"/>
    </row>
  </sheetData>
  <conditionalFormatting sqref="F14:AJ14">
    <cfRule type="colorScale" priority="1">
      <colorScale>
        <cfvo type="min"/>
        <cfvo type="percentile" val="50"/>
        <cfvo type="max"/>
        <color rgb="FF00B0F0"/>
        <color rgb="FFFFEB84"/>
        <color rgb="FFFF0000"/>
      </colorScale>
    </cfRule>
  </conditionalFormatting>
  <pageMargins left="0.7" right="0.7" top="0.75" bottom="0.75" header="0.3" footer="0.3"/>
  <pageSetup paperSize="9" orientation="portrait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Явная схема</vt:lpstr>
      <vt:lpstr>Неявная схема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2021-10-18T20:50:00Z</dcterms:modified>
</cp:coreProperties>
</file>